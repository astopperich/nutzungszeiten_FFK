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_Eventmanagement\FFK\Nutzungsdauer_FFK\2025\"/>
    </mc:Choice>
  </mc:AlternateContent>
  <xr:revisionPtr revIDLastSave="0" documentId="13_ncr:1_{72B216C2-1218-4711-BD0E-C4EF8678A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AMT" sheetId="9" r:id="rId1"/>
    <sheet name="Besondere Orte" sheetId="2" r:id="rId2"/>
    <sheet name="EAzB" sheetId="3" r:id="rId3"/>
    <sheet name="EKD" sheetId="6" r:id="rId4"/>
    <sheet name="Franz. Kirche " sheetId="5" r:id="rId5"/>
    <sheet name="Orgelprobe" sheetId="7" r:id="rId6"/>
    <sheet name="Offene Kirche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9" i="2" l="1"/>
  <c r="J79" i="2" s="1"/>
  <c r="H79" i="2"/>
  <c r="F79" i="2"/>
  <c r="I4" i="8"/>
  <c r="H71" i="5"/>
  <c r="E71" i="5"/>
  <c r="I70" i="5"/>
  <c r="E70" i="5"/>
  <c r="H68" i="5"/>
  <c r="E68" i="5"/>
  <c r="I67" i="5"/>
  <c r="E67" i="5"/>
  <c r="H64" i="5"/>
  <c r="I65" i="5"/>
  <c r="E65" i="5"/>
  <c r="I64" i="5"/>
  <c r="E64" i="5"/>
  <c r="I62" i="5"/>
  <c r="E62" i="5"/>
  <c r="G7" i="6"/>
  <c r="E7" i="6"/>
  <c r="G10" i="6"/>
  <c r="E10" i="6"/>
  <c r="G18" i="3"/>
  <c r="E18" i="3"/>
  <c r="G22" i="3"/>
  <c r="E22" i="3"/>
  <c r="G19" i="3"/>
  <c r="E19" i="3"/>
  <c r="H39" i="5"/>
  <c r="E39" i="5"/>
  <c r="H30" i="5"/>
  <c r="E30" i="5"/>
  <c r="H48" i="7"/>
  <c r="E48" i="7"/>
  <c r="H45" i="7"/>
  <c r="E45" i="7"/>
  <c r="H43" i="7"/>
  <c r="E43" i="7"/>
  <c r="H30" i="7"/>
  <c r="E30" i="7"/>
  <c r="H16" i="5"/>
  <c r="E16" i="5"/>
  <c r="H19" i="5"/>
  <c r="E19" i="5"/>
  <c r="H20" i="5"/>
  <c r="E20" i="5"/>
  <c r="H63" i="5"/>
  <c r="E63" i="5"/>
  <c r="H69" i="5"/>
  <c r="E69" i="5"/>
  <c r="H66" i="5"/>
  <c r="I66" i="5" s="1"/>
  <c r="E66" i="5"/>
  <c r="H5" i="5"/>
  <c r="I59" i="5"/>
  <c r="E59" i="5"/>
  <c r="H42" i="5"/>
  <c r="E42" i="5"/>
  <c r="H61" i="5"/>
  <c r="E61" i="5"/>
  <c r="I60" i="5"/>
  <c r="E60" i="5"/>
  <c r="I58" i="5"/>
  <c r="E58" i="5"/>
  <c r="H57" i="5"/>
  <c r="E56" i="5"/>
  <c r="H55" i="5"/>
  <c r="H56" i="5"/>
  <c r="E55" i="5"/>
  <c r="E54" i="5"/>
  <c r="H48" i="5"/>
  <c r="E48" i="5"/>
  <c r="H47" i="5"/>
  <c r="E47" i="5"/>
  <c r="H46" i="5"/>
  <c r="E46" i="5"/>
  <c r="I44" i="5"/>
  <c r="E44" i="5"/>
  <c r="H41" i="5"/>
  <c r="E41" i="5"/>
  <c r="H38" i="5"/>
  <c r="E38" i="5"/>
  <c r="H37" i="5"/>
  <c r="E37" i="5"/>
  <c r="H40" i="5"/>
  <c r="E40" i="5"/>
  <c r="H3" i="5"/>
  <c r="E3" i="5"/>
  <c r="H53" i="5"/>
  <c r="I54" i="5"/>
  <c r="E53" i="5"/>
  <c r="H22" i="5"/>
  <c r="H23" i="5"/>
  <c r="E23" i="5"/>
  <c r="E22" i="5"/>
  <c r="H25" i="5"/>
  <c r="E25" i="5"/>
  <c r="H24" i="5"/>
  <c r="E24" i="5"/>
  <c r="H34" i="5"/>
  <c r="E34" i="5"/>
  <c r="H33" i="5"/>
  <c r="E33" i="5"/>
  <c r="I32" i="5"/>
  <c r="E32" i="5"/>
  <c r="H31" i="5"/>
  <c r="E31" i="5"/>
  <c r="H12" i="5"/>
  <c r="E12" i="5"/>
  <c r="H11" i="5"/>
  <c r="E11" i="5"/>
  <c r="H10" i="5"/>
  <c r="H13" i="5"/>
  <c r="E10" i="5"/>
  <c r="H9" i="5"/>
  <c r="E9" i="5"/>
  <c r="H29" i="5"/>
  <c r="E29" i="5"/>
  <c r="H28" i="5"/>
  <c r="E28" i="5"/>
  <c r="H14" i="5"/>
  <c r="H15" i="5"/>
  <c r="E14" i="5"/>
  <c r="H35" i="5"/>
  <c r="E35" i="5"/>
  <c r="H21" i="5"/>
  <c r="E21" i="5"/>
  <c r="H47" i="7"/>
  <c r="E47" i="7"/>
  <c r="H44" i="7"/>
  <c r="E44" i="7"/>
  <c r="H42" i="7"/>
  <c r="E42" i="7"/>
  <c r="H36" i="7"/>
  <c r="E36" i="7"/>
  <c r="H32" i="7"/>
  <c r="E32" i="7"/>
  <c r="H28" i="7"/>
  <c r="E28" i="7"/>
  <c r="H24" i="7"/>
  <c r="E24" i="7"/>
  <c r="H23" i="7"/>
  <c r="E23" i="7"/>
  <c r="H14" i="7"/>
  <c r="E14" i="7"/>
  <c r="H6" i="7"/>
  <c r="E6" i="7"/>
  <c r="H49" i="7"/>
  <c r="E49" i="7"/>
  <c r="H41" i="7"/>
  <c r="E41" i="7"/>
  <c r="H34" i="7"/>
  <c r="E34" i="7"/>
  <c r="H33" i="7"/>
  <c r="E33" i="7"/>
  <c r="H27" i="7"/>
  <c r="E27" i="7"/>
  <c r="H29" i="7"/>
  <c r="E29" i="7"/>
  <c r="H26" i="7"/>
  <c r="E26" i="7"/>
  <c r="H18" i="7"/>
  <c r="E18" i="7"/>
  <c r="H4" i="7"/>
  <c r="E4" i="7"/>
  <c r="G2" i="6"/>
  <c r="E2" i="6"/>
  <c r="G2" i="3"/>
  <c r="E2" i="3"/>
  <c r="H57" i="2"/>
  <c r="F57" i="2"/>
  <c r="I56" i="2"/>
  <c r="F56" i="2"/>
  <c r="H55" i="2"/>
  <c r="I55" i="2" s="1"/>
  <c r="J55" i="2" s="1"/>
  <c r="F55" i="2"/>
  <c r="H54" i="2"/>
  <c r="I54" i="2" s="1"/>
  <c r="J54" i="2" s="1"/>
  <c r="F54" i="2"/>
  <c r="I52" i="2"/>
  <c r="F52" i="2"/>
  <c r="H37" i="2"/>
  <c r="I37" i="2" s="1"/>
  <c r="J37" i="2" s="1"/>
  <c r="F37" i="2"/>
  <c r="I35" i="2"/>
  <c r="H35" i="2"/>
  <c r="J35" i="2" s="1"/>
  <c r="F35" i="2"/>
  <c r="G6" i="6"/>
  <c r="H6" i="6" s="1"/>
  <c r="I6" i="6" s="1"/>
  <c r="E6" i="6"/>
  <c r="G3" i="6"/>
  <c r="E3" i="6"/>
  <c r="G14" i="3"/>
  <c r="E14" i="3"/>
  <c r="I17" i="2"/>
  <c r="H88" i="2"/>
  <c r="F88" i="2"/>
  <c r="H87" i="2"/>
  <c r="F87" i="2"/>
  <c r="H86" i="2"/>
  <c r="F86" i="2"/>
  <c r="H85" i="2"/>
  <c r="I85" i="2" s="1"/>
  <c r="F85" i="2"/>
  <c r="H84" i="2"/>
  <c r="I84" i="2" s="1"/>
  <c r="F84" i="2"/>
  <c r="H83" i="2"/>
  <c r="F83" i="2"/>
  <c r="H82" i="2"/>
  <c r="F82" i="2"/>
  <c r="H81" i="2"/>
  <c r="F81" i="2"/>
  <c r="I80" i="2"/>
  <c r="F80" i="2"/>
  <c r="H78" i="2"/>
  <c r="F78" i="2"/>
  <c r="H77" i="2"/>
  <c r="I77" i="2" s="1"/>
  <c r="F77" i="2"/>
  <c r="H76" i="2"/>
  <c r="F76" i="2"/>
  <c r="H75" i="2"/>
  <c r="I75" i="2" s="1"/>
  <c r="F75" i="2"/>
  <c r="H74" i="2"/>
  <c r="I74" i="2" s="1"/>
  <c r="F74" i="2"/>
  <c r="I73" i="2"/>
  <c r="F73" i="2"/>
  <c r="H72" i="2"/>
  <c r="F72" i="2"/>
  <c r="J71" i="2"/>
  <c r="I71" i="2"/>
  <c r="F71" i="2"/>
  <c r="H69" i="2"/>
  <c r="F70" i="2"/>
  <c r="F69" i="2"/>
  <c r="H70" i="2"/>
  <c r="H68" i="2"/>
  <c r="I68" i="2" s="1"/>
  <c r="J68" i="2" s="1"/>
  <c r="F68" i="2"/>
  <c r="J67" i="2"/>
  <c r="H67" i="2"/>
  <c r="F67" i="2"/>
  <c r="H66" i="2"/>
  <c r="F66" i="2"/>
  <c r="H65" i="2"/>
  <c r="I65" i="2" s="1"/>
  <c r="F65" i="2"/>
  <c r="H64" i="2"/>
  <c r="I64" i="2" s="1"/>
  <c r="J64" i="2" s="1"/>
  <c r="F64" i="2"/>
  <c r="H63" i="2"/>
  <c r="F63" i="2"/>
  <c r="H62" i="2"/>
  <c r="F62" i="2"/>
  <c r="H61" i="2"/>
  <c r="F61" i="2"/>
  <c r="J60" i="2"/>
  <c r="H60" i="2"/>
  <c r="F60" i="2"/>
  <c r="H59" i="2"/>
  <c r="F59" i="2"/>
  <c r="H58" i="2"/>
  <c r="F58" i="2"/>
  <c r="J53" i="2"/>
  <c r="H53" i="2"/>
  <c r="F53" i="2"/>
  <c r="H51" i="2"/>
  <c r="F51" i="2"/>
  <c r="H50" i="2"/>
  <c r="F50" i="2"/>
  <c r="J49" i="2"/>
  <c r="H49" i="2"/>
  <c r="F49" i="2"/>
  <c r="H48" i="2"/>
  <c r="I48" i="2" s="1"/>
  <c r="J48" i="2" s="1"/>
  <c r="F48" i="2"/>
  <c r="H47" i="2"/>
  <c r="I47" i="2" s="1"/>
  <c r="J47" i="2" s="1"/>
  <c r="F47" i="2"/>
  <c r="H46" i="2"/>
  <c r="I46" i="2" s="1"/>
  <c r="J46" i="2" s="1"/>
  <c r="F46" i="2"/>
  <c r="H45" i="2"/>
  <c r="F45" i="2"/>
  <c r="H44" i="2"/>
  <c r="F44" i="2"/>
  <c r="J43" i="2"/>
  <c r="I43" i="2"/>
  <c r="F43" i="2"/>
  <c r="H42" i="2"/>
  <c r="I42" i="2" s="1"/>
  <c r="J42" i="2" s="1"/>
  <c r="F42" i="2"/>
  <c r="H41" i="2"/>
  <c r="F41" i="2"/>
  <c r="H40" i="2"/>
  <c r="F40" i="2"/>
  <c r="H39" i="2"/>
  <c r="I39" i="2" s="1"/>
  <c r="J39" i="2" s="1"/>
  <c r="F39" i="2"/>
  <c r="H38" i="2"/>
  <c r="I38" i="2" s="1"/>
  <c r="J38" i="2" s="1"/>
  <c r="F38" i="2"/>
  <c r="H36" i="2"/>
  <c r="F36" i="2"/>
  <c r="H34" i="2"/>
  <c r="I34" i="2" s="1"/>
  <c r="F34" i="2"/>
  <c r="J33" i="2"/>
  <c r="I33" i="2"/>
  <c r="F33" i="2"/>
  <c r="H32" i="2" l="1"/>
  <c r="F32" i="2"/>
  <c r="G9" i="6"/>
  <c r="G21" i="3"/>
  <c r="H21" i="3" s="1"/>
  <c r="I21" i="3" s="1"/>
  <c r="E21" i="3"/>
  <c r="G20" i="3"/>
  <c r="H20" i="3" s="1"/>
  <c r="I20" i="3" s="1"/>
  <c r="E20" i="3"/>
  <c r="H17" i="3"/>
  <c r="I17" i="3" s="1"/>
  <c r="E17" i="3"/>
  <c r="G16" i="3"/>
  <c r="H16" i="3" s="1"/>
  <c r="I16" i="3" s="1"/>
  <c r="E16" i="3"/>
  <c r="G15" i="3"/>
  <c r="H15" i="3" s="1"/>
  <c r="I15" i="3" s="1"/>
  <c r="E15" i="3"/>
  <c r="G13" i="3"/>
  <c r="H13" i="3" s="1"/>
  <c r="I13" i="3" s="1"/>
  <c r="E13" i="3"/>
  <c r="G12" i="3"/>
  <c r="H12" i="3" s="1"/>
  <c r="I12" i="3" s="1"/>
  <c r="E12" i="3"/>
  <c r="G11" i="3"/>
  <c r="H11" i="3" s="1"/>
  <c r="I11" i="3" s="1"/>
  <c r="G10" i="3"/>
  <c r="H10" i="3" s="1"/>
  <c r="I10" i="3" s="1"/>
  <c r="G9" i="3"/>
  <c r="H9" i="3" s="1"/>
  <c r="I9" i="3" s="1"/>
  <c r="G8" i="3"/>
  <c r="H8" i="3" s="1"/>
  <c r="I8" i="3" s="1"/>
  <c r="G7" i="3"/>
  <c r="H7" i="3" s="1"/>
  <c r="I7" i="3" s="1"/>
  <c r="G6" i="3"/>
  <c r="E6" i="3"/>
  <c r="G5" i="6"/>
  <c r="H5" i="6" s="1"/>
  <c r="I5" i="6" s="1"/>
  <c r="E5" i="6"/>
  <c r="I28" i="2"/>
  <c r="F28" i="2"/>
  <c r="H6" i="2" l="1"/>
  <c r="F6" i="2"/>
  <c r="I4" i="3"/>
  <c r="H4" i="3"/>
  <c r="G4" i="3"/>
  <c r="F31" i="2"/>
  <c r="H31" i="2"/>
  <c r="H30" i="2"/>
  <c r="F30" i="2"/>
  <c r="H29" i="2"/>
  <c r="F29" i="2"/>
  <c r="F27" i="2"/>
  <c r="J26" i="2"/>
  <c r="I26" i="2"/>
  <c r="H26" i="2"/>
  <c r="F26" i="2"/>
  <c r="J25" i="2"/>
  <c r="I25" i="2"/>
  <c r="H25" i="2"/>
  <c r="F25" i="2"/>
  <c r="H24" i="2"/>
  <c r="F24" i="2"/>
  <c r="H23" i="2"/>
  <c r="F23" i="2"/>
  <c r="H22" i="2"/>
  <c r="F22" i="2"/>
  <c r="J21" i="2"/>
  <c r="H21" i="2"/>
  <c r="I21" i="2"/>
  <c r="F21" i="2"/>
  <c r="J20" i="2"/>
  <c r="I20" i="2"/>
  <c r="H20" i="2"/>
  <c r="F20" i="2"/>
  <c r="H19" i="2"/>
  <c r="F19" i="2"/>
  <c r="I18" i="2"/>
  <c r="F18" i="2"/>
  <c r="J16" i="2"/>
  <c r="I16" i="2"/>
  <c r="J15" i="2"/>
  <c r="I15" i="2"/>
  <c r="H15" i="2"/>
  <c r="J14" i="2"/>
  <c r="H14" i="2"/>
  <c r="J13" i="2"/>
  <c r="H13" i="2"/>
  <c r="F13" i="2"/>
  <c r="J9" i="2"/>
  <c r="I9" i="2"/>
  <c r="H9" i="2"/>
  <c r="F9" i="2"/>
  <c r="J8" i="2"/>
  <c r="I8" i="2"/>
  <c r="H8" i="2"/>
  <c r="J7" i="2"/>
  <c r="J89" i="2" s="1"/>
  <c r="I7" i="2"/>
  <c r="H7" i="2"/>
  <c r="H4" i="2"/>
  <c r="F4" i="2"/>
  <c r="F3" i="2"/>
  <c r="H16" i="7"/>
  <c r="E16" i="7"/>
  <c r="E15" i="5"/>
  <c r="H22" i="7"/>
  <c r="E22" i="7"/>
  <c r="H31" i="7"/>
  <c r="E31" i="7"/>
  <c r="H3" i="7"/>
  <c r="E3" i="7"/>
  <c r="H39" i="7"/>
  <c r="E39" i="7"/>
  <c r="H5" i="7"/>
  <c r="E5" i="7"/>
  <c r="H15" i="7"/>
  <c r="E15" i="7"/>
  <c r="H46" i="7"/>
  <c r="E46" i="7"/>
  <c r="H20" i="7"/>
  <c r="E20" i="7"/>
  <c r="H25" i="7"/>
  <c r="E25" i="7"/>
  <c r="H50" i="7"/>
  <c r="E50" i="7"/>
  <c r="I52" i="5"/>
  <c r="E52" i="5"/>
  <c r="H13" i="7"/>
  <c r="E13" i="7"/>
  <c r="H7" i="7"/>
  <c r="E7" i="7"/>
  <c r="I51" i="5"/>
  <c r="E51" i="5"/>
  <c r="H50" i="5"/>
  <c r="E50" i="5"/>
  <c r="E13" i="5"/>
  <c r="H45" i="5"/>
  <c r="E45" i="5"/>
  <c r="H38" i="7"/>
  <c r="E38" i="7"/>
  <c r="I49" i="5"/>
  <c r="E49" i="5"/>
  <c r="H43" i="5"/>
  <c r="E43" i="5"/>
  <c r="H6" i="5"/>
  <c r="E6" i="5"/>
  <c r="H37" i="7"/>
  <c r="E37" i="7"/>
  <c r="H21" i="7"/>
  <c r="E21" i="7"/>
  <c r="I7" i="5"/>
  <c r="E7" i="5"/>
  <c r="E8" i="5"/>
  <c r="H8" i="5"/>
  <c r="H19" i="7"/>
  <c r="E19" i="7"/>
  <c r="H35" i="7"/>
  <c r="E35" i="7"/>
  <c r="H27" i="5"/>
  <c r="H17" i="5"/>
  <c r="H18" i="5"/>
  <c r="H26" i="5"/>
  <c r="E26" i="5"/>
  <c r="H4" i="5"/>
  <c r="E4" i="5"/>
  <c r="H40" i="7"/>
  <c r="H12" i="7"/>
  <c r="H17" i="7"/>
  <c r="H11" i="7"/>
  <c r="H10" i="7"/>
  <c r="H9" i="7"/>
  <c r="H8" i="7"/>
  <c r="H36" i="5"/>
  <c r="H51" i="7" l="1"/>
  <c r="D7" i="9" s="1"/>
  <c r="I17" i="8"/>
  <c r="I16" i="8"/>
  <c r="I15" i="8"/>
  <c r="I14" i="8"/>
  <c r="I13" i="8"/>
  <c r="F13" i="8"/>
  <c r="G8" i="6" l="1"/>
  <c r="H8" i="6" s="1"/>
  <c r="I8" i="6" s="1"/>
  <c r="I21" i="8"/>
  <c r="F21" i="8"/>
  <c r="G24" i="8"/>
  <c r="H24" i="8"/>
  <c r="I23" i="8"/>
  <c r="I22" i="8"/>
  <c r="I20" i="8"/>
  <c r="I19" i="8"/>
  <c r="I5" i="8"/>
  <c r="I11" i="8"/>
  <c r="I12" i="8"/>
  <c r="I18" i="8"/>
  <c r="F11" i="8"/>
  <c r="I10" i="8"/>
  <c r="I9" i="8"/>
  <c r="I8" i="8"/>
  <c r="I7" i="8"/>
  <c r="I6" i="8"/>
  <c r="I3" i="8"/>
  <c r="F3" i="8"/>
  <c r="F5" i="8"/>
  <c r="E11" i="3"/>
  <c r="E10" i="3"/>
  <c r="E9" i="3"/>
  <c r="E8" i="3"/>
  <c r="E7" i="3"/>
  <c r="I24" i="8" l="1"/>
  <c r="E7" i="9" s="1"/>
  <c r="I5" i="3"/>
  <c r="I23" i="3" s="1"/>
  <c r="H5" i="3"/>
  <c r="H23" i="3" s="1"/>
  <c r="G5" i="3"/>
  <c r="E5" i="3"/>
  <c r="E3" i="3"/>
  <c r="E4" i="3"/>
  <c r="G3" i="3"/>
  <c r="G23" i="3" l="1"/>
  <c r="F16" i="2"/>
  <c r="E9" i="6" l="1"/>
  <c r="E18" i="5" l="1"/>
  <c r="E17" i="5"/>
  <c r="E11" i="7" l="1"/>
  <c r="E8" i="6" l="1"/>
  <c r="F22" i="8" l="1"/>
  <c r="F23" i="8"/>
  <c r="F11" i="2" l="1"/>
  <c r="H11" i="2"/>
  <c r="F17" i="2"/>
  <c r="F15" i="2" l="1"/>
  <c r="F14" i="2"/>
  <c r="H10" i="2" l="1"/>
  <c r="F10" i="2"/>
  <c r="J6" i="9" l="1"/>
  <c r="I89" i="2"/>
  <c r="H6" i="9" s="1"/>
  <c r="E9" i="7" l="1"/>
  <c r="F12" i="8"/>
  <c r="H12" i="2" l="1"/>
  <c r="H5" i="2" l="1"/>
  <c r="E17" i="7" l="1"/>
  <c r="J72" i="5" l="1"/>
  <c r="J3" i="9" s="1"/>
  <c r="H17" i="2" l="1"/>
  <c r="F12" i="2"/>
  <c r="E5" i="5" l="1"/>
  <c r="E40" i="7" l="1"/>
  <c r="E12" i="7"/>
  <c r="E10" i="7"/>
  <c r="F19" i="8"/>
  <c r="F18" i="8"/>
  <c r="E8" i="7"/>
  <c r="B5" i="9" l="1"/>
  <c r="G4" i="6"/>
  <c r="H4" i="6" s="1"/>
  <c r="I4" i="6" l="1"/>
  <c r="I11" i="6" s="1"/>
  <c r="J4" i="9" s="1"/>
  <c r="H11" i="6"/>
  <c r="H4" i="9" s="1"/>
  <c r="G11" i="6"/>
  <c r="B4" i="9" s="1"/>
  <c r="J5" i="9"/>
  <c r="H5" i="9"/>
  <c r="J7" i="9" l="1"/>
  <c r="K5" i="9" s="1"/>
  <c r="F5" i="2"/>
  <c r="K4" i="9" l="1"/>
  <c r="K6" i="9"/>
  <c r="K3" i="9"/>
  <c r="K7" i="9" l="1"/>
  <c r="E4" i="6"/>
  <c r="E36" i="5"/>
  <c r="E27" i="5"/>
  <c r="I72" i="5" l="1"/>
  <c r="H3" i="9" s="1"/>
  <c r="H7" i="9" l="1"/>
  <c r="I3" i="9" s="1"/>
  <c r="I5" i="9" l="1"/>
  <c r="I6" i="9"/>
  <c r="I4" i="9"/>
  <c r="I7" i="9" l="1"/>
  <c r="H72" i="5"/>
  <c r="B3" i="9" s="1"/>
  <c r="F20" i="8"/>
  <c r="F7" i="2" l="1"/>
  <c r="H2" i="2"/>
  <c r="H89" i="2" s="1"/>
  <c r="B6" i="9" s="1"/>
  <c r="F2" i="2"/>
  <c r="F6" i="9" l="1"/>
  <c r="B7" i="9"/>
  <c r="B8" i="9" s="1"/>
  <c r="C4" i="9" l="1"/>
  <c r="C3" i="9"/>
  <c r="D3" i="9" s="1"/>
  <c r="C5" i="9"/>
  <c r="E4" i="9" l="1"/>
  <c r="D4" i="9"/>
  <c r="D5" i="9"/>
  <c r="E5" i="9"/>
  <c r="C7" i="9"/>
  <c r="E3" i="9"/>
  <c r="F3" i="9" s="1"/>
  <c r="F4" i="9" l="1"/>
  <c r="F5" i="9"/>
  <c r="F7" i="9" l="1"/>
  <c r="G6" i="9" l="1"/>
  <c r="G4" i="9"/>
  <c r="G5" i="9"/>
  <c r="G3" i="9"/>
  <c r="G7" i="9" l="1"/>
</calcChain>
</file>

<file path=xl/sharedStrings.xml><?xml version="1.0" encoding="utf-8"?>
<sst xmlns="http://schemas.openxmlformats.org/spreadsheetml/2006/main" count="511" uniqueCount="208">
  <si>
    <t>Offene Kirche</t>
  </si>
  <si>
    <t>Kirchsaal</t>
  </si>
  <si>
    <t>Was</t>
  </si>
  <si>
    <t>Datum Start</t>
  </si>
  <si>
    <t>Datum Ende</t>
  </si>
  <si>
    <t>Startzeit</t>
  </si>
  <si>
    <t>Endzeit</t>
  </si>
  <si>
    <t>Georges-Casalis-Saal</t>
  </si>
  <si>
    <t>Differenz</t>
  </si>
  <si>
    <t>Umrechnung</t>
  </si>
  <si>
    <t>KaMü GmbH</t>
  </si>
  <si>
    <t>viele</t>
  </si>
  <si>
    <t>Anzahl</t>
  </si>
  <si>
    <t>Orgelprobe</t>
  </si>
  <si>
    <t>mehrere</t>
  </si>
  <si>
    <t>Gottesdienst</t>
  </si>
  <si>
    <t>Probe &amp; Orgelkonzert</t>
  </si>
  <si>
    <t>culte</t>
  </si>
  <si>
    <t>Probe für Vesper</t>
  </si>
  <si>
    <t>Musikalische Vesper</t>
  </si>
  <si>
    <t>Französische Kirche</t>
  </si>
  <si>
    <t>EKD</t>
  </si>
  <si>
    <t>Konzert</t>
  </si>
  <si>
    <t>FRANZHANS 06 Ltd. Agentur für Kultur</t>
  </si>
  <si>
    <t>ENDSUMME</t>
  </si>
  <si>
    <t>Büro Tina Tandler</t>
  </si>
  <si>
    <t>Weihnachtskonzert</t>
  </si>
  <si>
    <t>lt. Team Up ohne Angabe Ort</t>
  </si>
  <si>
    <t>lt. Team Up 06.+07.11.2019</t>
  </si>
  <si>
    <t>nur lt. evis; by Jonas</t>
  </si>
  <si>
    <t>lt. Team Up: alles</t>
  </si>
  <si>
    <t>lt. Team Up fehlt Angabe Ort; RS Jonas (31.01.20): Barot</t>
  </si>
  <si>
    <t>lt. evis falsche Zeitangabe; Endzeit: 23.30 Uhr am 16.10.20</t>
  </si>
  <si>
    <t>Entrée</t>
  </si>
  <si>
    <t>VA</t>
  </si>
  <si>
    <t>Veranstalter</t>
  </si>
  <si>
    <t>Orgelstimmung</t>
  </si>
  <si>
    <t>Kirche und Nebenräume</t>
  </si>
  <si>
    <t>Casalis</t>
  </si>
  <si>
    <t>Nutzer</t>
  </si>
  <si>
    <t>Anteil % ohne BO</t>
  </si>
  <si>
    <t>Orgelübzeiten (Umlage anteilig, alle)</t>
  </si>
  <si>
    <t>Offene Kirche (Umlage anteilig, alle)</t>
  </si>
  <si>
    <t>Gottes-dienste VAs</t>
  </si>
  <si>
    <t>Anteil %</t>
  </si>
  <si>
    <t>Dauer</t>
  </si>
  <si>
    <t>Franz. Kirche</t>
  </si>
  <si>
    <t>Summe</t>
  </si>
  <si>
    <t>Ev. Akademie</t>
  </si>
  <si>
    <t>Summe inkl. off. Kirche + Orgelübz.</t>
  </si>
  <si>
    <t>Anteil inkl. off. Kirche + Orgelübz.</t>
  </si>
  <si>
    <t xml:space="preserve">  </t>
  </si>
  <si>
    <t>Weltkonzerte</t>
  </si>
  <si>
    <t>Orchester Ronny Heinrich</t>
  </si>
  <si>
    <t xml:space="preserve">Datum </t>
  </si>
  <si>
    <t>Fachtagung</t>
  </si>
  <si>
    <t>EAzB VA</t>
  </si>
  <si>
    <t>EKD VA</t>
  </si>
  <si>
    <t>Tina Tandler</t>
  </si>
  <si>
    <t>Hans-Böckler-Stiftung</t>
  </si>
  <si>
    <t>Muttertagskonzert</t>
  </si>
  <si>
    <t>Abendveranstaltung</t>
  </si>
  <si>
    <t xml:space="preserve">RIAS Berlin Commission </t>
  </si>
  <si>
    <t>Preisverleihung</t>
  </si>
  <si>
    <t>Deutsche Nationalstiftung</t>
  </si>
  <si>
    <t>Flüchtlingssymposium</t>
  </si>
  <si>
    <t>Johannisempfang</t>
  </si>
  <si>
    <t>Bund der Vertriebenen</t>
  </si>
  <si>
    <t>Dinner</t>
  </si>
  <si>
    <t>Get-together</t>
  </si>
  <si>
    <t>Vertretung des Freistaats Thüringen beim Bund</t>
  </si>
  <si>
    <t>Adventskonzert</t>
  </si>
  <si>
    <t>LIONS FÖRDERVEREIN Berlin-Hohenschönhausen e.V.</t>
  </si>
  <si>
    <t>Max-Planck-Gymnasium</t>
  </si>
  <si>
    <t>Nederlandse kerk in Duitsland (NKID) kern Berlijn</t>
  </si>
  <si>
    <t>Orgelmusik</t>
  </si>
  <si>
    <t>Friedensgebet</t>
  </si>
  <si>
    <t>Weltgebetstag</t>
  </si>
  <si>
    <t>Karfreitagsgottesdienst</t>
  </si>
  <si>
    <t>Andacht zum Genfer Psalter</t>
  </si>
  <si>
    <t>Konzert am Ostermorgen</t>
  </si>
  <si>
    <t>Gottesdienst niederländische Gemeinde</t>
  </si>
  <si>
    <t>Taufe</t>
  </si>
  <si>
    <t>Nacht der offenen Kirchen</t>
  </si>
  <si>
    <t>Datum</t>
  </si>
  <si>
    <t>Probe für Konzert</t>
  </si>
  <si>
    <t xml:space="preserve">mehrere </t>
  </si>
  <si>
    <t>Vorbereitungen WGT</t>
  </si>
  <si>
    <t>Orgelkonzert</t>
  </si>
  <si>
    <t>Vero</t>
  </si>
  <si>
    <t>BRANDS ALIVE</t>
  </si>
  <si>
    <t>insolite Germany GmbH</t>
  </si>
  <si>
    <t>Berlin Klassik Artist &amp; Culture Management</t>
  </si>
  <si>
    <t>Becker Büttner</t>
  </si>
  <si>
    <t>Energiekonfrenz</t>
  </si>
  <si>
    <t>Deutsches Verpackungsinstitut</t>
  </si>
  <si>
    <t>BESONDERE ORTE</t>
  </si>
  <si>
    <t>Tour</t>
  </si>
  <si>
    <t>Poetry Slam</t>
  </si>
  <si>
    <t>Astor Montero Enterprises</t>
  </si>
  <si>
    <t>Incentive-Reise DAIKIN</t>
  </si>
  <si>
    <t>Konrad-Adenauer-Stiftung e.V.</t>
  </si>
  <si>
    <t>Tagung</t>
  </si>
  <si>
    <t>IMK-Forum 2023</t>
  </si>
  <si>
    <t>Pommersche Genossenschaft des Johanniter Ordens</t>
  </si>
  <si>
    <t>Gehört zu uns oder Kirche?</t>
  </si>
  <si>
    <t>Friedrich-Ebert-Stiftung</t>
  </si>
  <si>
    <t>AG Familienrecht im DAV c/o conventionPARTNERS</t>
  </si>
  <si>
    <t>Forum</t>
  </si>
  <si>
    <t>Friedrich-Naumann-Stiftung für die Freiheit</t>
  </si>
  <si>
    <t>Fotoshooting</t>
  </si>
  <si>
    <t>BO</t>
  </si>
  <si>
    <t xml:space="preserve">Nachhaltigkeitskongress </t>
  </si>
  <si>
    <t>Nachhaltigkeitskongress</t>
  </si>
  <si>
    <t>Friedensgutachten</t>
  </si>
  <si>
    <t>2. Ortskräftekongress</t>
  </si>
  <si>
    <t>Internationales Friedenstreffen</t>
  </si>
  <si>
    <t>Syrienkonferenz</t>
  </si>
  <si>
    <t>Vortrag: soziale Marktwirtschaft</t>
  </si>
  <si>
    <t>75 Jahre Erklärung der Allgemeinen Menschenrechte</t>
  </si>
  <si>
    <t>Gottesdienst mit Empfang</t>
  </si>
  <si>
    <t>Adventssingen</t>
  </si>
  <si>
    <t>Medienpreisverleihung</t>
  </si>
  <si>
    <t>70 Jahre Volksaufstand vom 17. Juni 1953</t>
  </si>
  <si>
    <t>Collegium Musicum Berlin</t>
  </si>
  <si>
    <t>Sinfoniekonzert</t>
  </si>
  <si>
    <t>Verleihung Deutscher Nationalpreis</t>
  </si>
  <si>
    <t>Landesvertretung Saarland</t>
  </si>
  <si>
    <t>Deutsch-Französisches Freundschaftskonzert</t>
  </si>
  <si>
    <t>Sommerkonzert</t>
  </si>
  <si>
    <t>Festakt zum Tag der Heimat 2023</t>
  </si>
  <si>
    <t>Festakt zum Tag der Heimat 2024</t>
  </si>
  <si>
    <t>Killen, Maeve</t>
  </si>
  <si>
    <t>Hochzeit</t>
  </si>
  <si>
    <t>Herbstklänge</t>
  </si>
  <si>
    <t>KINDERHILFE e.V.</t>
  </si>
  <si>
    <t>Benefiz Konzert</t>
  </si>
  <si>
    <t>Deutsche Bahn AG GUC</t>
  </si>
  <si>
    <t>Forum Nachhaltigkeit</t>
  </si>
  <si>
    <t>Kzemos Germany GmbH</t>
  </si>
  <si>
    <t>Lichtfestival</t>
  </si>
  <si>
    <t>FRANZHANS 06 GmbH</t>
  </si>
  <si>
    <t>Global Crop Diversity Trust</t>
  </si>
  <si>
    <t>Global Crop Diversity Summit 2023</t>
  </si>
  <si>
    <t>Spandauer Blasorchester 1960 e.V.</t>
  </si>
  <si>
    <t>Jahreskonzert</t>
  </si>
  <si>
    <t>Gala der Tenöre</t>
  </si>
  <si>
    <t>Gesellschaft für Zwischenlagerung mbH Büro Berlin</t>
  </si>
  <si>
    <t>Fachworkshop Zwischenlagerung</t>
  </si>
  <si>
    <t>SDIA Green Coding Summit</t>
  </si>
  <si>
    <t>Sustainable Digital Infrastructure Alliance e.V.</t>
  </si>
  <si>
    <t>dpa Deutsche Presse-Agentur GmbH Standort Hamburg</t>
  </si>
  <si>
    <t>Krimidinner</t>
  </si>
  <si>
    <t>Vorweihnachtliches Konzert</t>
  </si>
  <si>
    <t>Kerstsamenzang 2023</t>
  </si>
  <si>
    <t>Pluriversum</t>
  </si>
  <si>
    <t>Entsendegottesdienst</t>
  </si>
  <si>
    <t>Begehung BKA (Johannisempfang)</t>
  </si>
  <si>
    <t>Begehung BKA (Nationalstiftung)</t>
  </si>
  <si>
    <t>Dienstleistertreffen Hochzeitsbranche</t>
  </si>
  <si>
    <t xml:space="preserve">Open House </t>
  </si>
  <si>
    <t>Akustikeinmessung</t>
  </si>
  <si>
    <t>Frühgottesdienst</t>
  </si>
  <si>
    <t>Abnahme Orgel</t>
  </si>
  <si>
    <t>Probe und musikalische Vesper</t>
  </si>
  <si>
    <t>Orgelkonzert intern</t>
  </si>
  <si>
    <t>Probe Choralschola</t>
  </si>
  <si>
    <t>Aufnahmen Choralschola</t>
  </si>
  <si>
    <t>Gemeindeempfang</t>
  </si>
  <si>
    <t>Konzert zu Christi Sterbestunde</t>
  </si>
  <si>
    <t>Garderobe Konzert</t>
  </si>
  <si>
    <t>Chorprobe</t>
  </si>
  <si>
    <t>Orgelarbeiten</t>
  </si>
  <si>
    <t>Nacharbeiten Orgel</t>
  </si>
  <si>
    <t>Gottesdienst-Vorbereitung Chorprobe</t>
  </si>
  <si>
    <t>Musikalischer Gottesdienst</t>
  </si>
  <si>
    <t>Trauerfeier Toucha</t>
  </si>
  <si>
    <t>Tischabendmahl</t>
  </si>
  <si>
    <t>Andacht Konfirmanden</t>
  </si>
  <si>
    <t>Reformierter Theolog*inn*enkonvent</t>
  </si>
  <si>
    <t>Lecteursübung</t>
  </si>
  <si>
    <t>Trauung Touowa</t>
  </si>
  <si>
    <t>Lange Nacht der Museen</t>
  </si>
  <si>
    <t>Vortrag Palladine</t>
  </si>
  <si>
    <t>Gemeindeversammlung</t>
  </si>
  <si>
    <t>Refugefest</t>
  </si>
  <si>
    <t>Apéro am Dom</t>
  </si>
  <si>
    <t>Fertig</t>
  </si>
  <si>
    <t>Gottesdienst zur Verabschiedung Dr. Lilie</t>
  </si>
  <si>
    <t>Gottestdienst mit ASF zur Progromnacht</t>
  </si>
  <si>
    <t>Mittagsandacht</t>
  </si>
  <si>
    <t>Aufbau Zoomtechnik</t>
  </si>
  <si>
    <t>Fachkonferenz Migration und Behinderung</t>
  </si>
  <si>
    <t>Interne Andacht Bevollmächtigte</t>
  </si>
  <si>
    <t>Heilsame Unterbrechung am Buß- und Bettag</t>
  </si>
  <si>
    <t>Assemblée générale Communauté</t>
  </si>
  <si>
    <t>Konzert des Chores der FK</t>
  </si>
  <si>
    <t>Advent im Dom</t>
  </si>
  <si>
    <t>Noel francophone</t>
  </si>
  <si>
    <t xml:space="preserve">Weihnachtsfeier </t>
  </si>
  <si>
    <t>Weihnachtsfeier Francophone</t>
  </si>
  <si>
    <t>BO fertig</t>
  </si>
  <si>
    <t>Besondere Orte</t>
  </si>
  <si>
    <t>Umrech-nung</t>
  </si>
  <si>
    <t>Gottesdienste, Kirchenmusik Veranstalt.</t>
  </si>
  <si>
    <t>Summe ohne BO</t>
  </si>
  <si>
    <t>Evangelisches Werk für Diakonie und Entwicklung</t>
  </si>
  <si>
    <t>Nutzungszeiten FFK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</si>
</sst>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00B05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EBF1DE"/>
      </patternFill>
    </fill>
  </fills>
  <borders count="10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/>
      <bottom style="thick">
        <color theme="4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rgb="FF2F75B5"/>
      </right>
      <top/>
      <bottom/>
      <diagonal/>
    </border>
    <border>
      <left/>
      <right style="medium">
        <color rgb="FF2F75B5"/>
      </right>
      <top/>
      <bottom style="thick">
        <color theme="4"/>
      </bottom>
      <diagonal/>
    </border>
    <border>
      <left style="medium">
        <color rgb="FF2F75B5"/>
      </left>
      <right style="medium">
        <color theme="4"/>
      </right>
      <top style="medium">
        <color theme="4"/>
      </top>
      <bottom style="medium">
        <color rgb="FF2F75B5"/>
      </bottom>
      <diagonal/>
    </border>
    <border>
      <left/>
      <right/>
      <top/>
      <bottom style="medium">
        <color rgb="FF2F75B5"/>
      </bottom>
      <diagonal/>
    </border>
    <border>
      <left/>
      <right style="medium">
        <color rgb="FF2F75B5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2F75B5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medium">
        <color rgb="FF2F75B5"/>
      </right>
      <top/>
      <bottom style="medium">
        <color rgb="FF2F75B5"/>
      </bottom>
      <diagonal/>
    </border>
    <border>
      <left style="medium">
        <color rgb="FF2F75B5"/>
      </left>
      <right style="thin">
        <color theme="0" tint="-0.14999847407452621"/>
      </right>
      <top style="medium">
        <color rgb="FF2F75B5"/>
      </top>
      <bottom style="medium">
        <color rgb="FF2F75B5"/>
      </bottom>
      <diagonal/>
    </border>
    <border>
      <left/>
      <right style="medium">
        <color rgb="FF2F75B5"/>
      </right>
      <top style="medium">
        <color rgb="FF2F75B5"/>
      </top>
      <bottom style="medium">
        <color rgb="FF2F75B5"/>
      </bottom>
      <diagonal/>
    </border>
    <border>
      <left/>
      <right/>
      <top style="medium">
        <color rgb="FF2F75B5"/>
      </top>
      <bottom style="medium">
        <color rgb="FF2F75B5"/>
      </bottom>
      <diagonal/>
    </border>
    <border>
      <left/>
      <right style="thin">
        <color theme="0" tint="-0.14999847407452621"/>
      </right>
      <top style="medium">
        <color rgb="FF2F75B5"/>
      </top>
      <bottom style="medium">
        <color rgb="FF2F75B5"/>
      </bottom>
      <diagonal/>
    </border>
    <border>
      <left style="thin">
        <color indexed="64"/>
      </left>
      <right/>
      <top/>
      <bottom style="medium">
        <color rgb="FF2F75B5"/>
      </bottom>
      <diagonal/>
    </border>
    <border>
      <left style="thin">
        <color theme="0" tint="-0.14999847407452621"/>
      </left>
      <right style="medium">
        <color rgb="FF2F75B5"/>
      </right>
      <top/>
      <bottom style="medium">
        <color rgb="FF2F75B5"/>
      </bottom>
      <diagonal/>
    </border>
    <border>
      <left style="thin">
        <color theme="0" tint="-0.14999847407452621"/>
      </left>
      <right style="medium">
        <color rgb="FF2F75B5"/>
      </right>
      <top style="medium">
        <color rgb="FF2F75B5"/>
      </top>
      <bottom style="medium">
        <color rgb="FF2F75B5"/>
      </bottom>
      <diagonal/>
    </border>
    <border>
      <left style="medium">
        <color rgb="FF2F75B5"/>
      </left>
      <right/>
      <top/>
      <bottom style="medium">
        <color theme="0" tint="-0.14999847407452621"/>
      </bottom>
      <diagonal/>
    </border>
    <border>
      <left/>
      <right style="medium">
        <color theme="4" tint="-0.249977111117893"/>
      </right>
      <top/>
      <bottom/>
      <diagonal/>
    </border>
    <border>
      <left style="medium">
        <color rgb="FF2F75B5"/>
      </left>
      <right style="thin">
        <color theme="0" tint="-0.14999847407452621"/>
      </right>
      <top/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 style="medium">
        <color theme="4"/>
      </top>
      <bottom style="medium">
        <color theme="4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theme="8"/>
      </top>
      <bottom style="medium">
        <color rgb="FF0070C0"/>
      </bottom>
      <diagonal/>
    </border>
    <border>
      <left style="medium">
        <color theme="4"/>
      </left>
      <right style="medium">
        <color rgb="FF0070C0"/>
      </right>
      <top style="medium">
        <color theme="4"/>
      </top>
      <bottom style="medium">
        <color theme="4"/>
      </bottom>
      <diagonal/>
    </border>
    <border>
      <left/>
      <right style="medium">
        <color rgb="FF2F75B5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2F75B5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2F75B5"/>
      </right>
      <top/>
      <bottom/>
      <diagonal/>
    </border>
    <border>
      <left style="thin">
        <color theme="0" tint="-0.14999847407452621"/>
      </left>
      <right style="medium">
        <color rgb="FF0070C0"/>
      </right>
      <top/>
      <bottom/>
      <diagonal/>
    </border>
    <border>
      <left/>
      <right style="medium">
        <color rgb="FF0070C0"/>
      </right>
      <top style="medium">
        <color rgb="FF2F75B5"/>
      </top>
      <bottom/>
      <diagonal/>
    </border>
    <border>
      <left/>
      <right style="medium">
        <color rgb="FF2F75B5"/>
      </right>
      <top style="thick">
        <color theme="4"/>
      </top>
      <bottom style="thin">
        <color theme="0" tint="-0.14999847407452621"/>
      </bottom>
      <diagonal/>
    </border>
    <border>
      <left/>
      <right style="medium">
        <color rgb="FF2F75B5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rgb="FF2F75B5"/>
      </right>
      <top/>
      <bottom/>
      <diagonal/>
    </border>
    <border>
      <left style="medium">
        <color rgb="FF2F75B5"/>
      </left>
      <right style="thin">
        <color theme="0" tint="-0.14999847407452621"/>
      </right>
      <top/>
      <bottom style="medium">
        <color rgb="FF2F75B5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rgb="FF2F75B5"/>
      </bottom>
      <diagonal/>
    </border>
    <border>
      <left style="medium">
        <color rgb="FF0070C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2F75B5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rgb="FF2F75B5"/>
      </right>
      <top style="medium">
        <color rgb="FF2F75B5"/>
      </top>
      <bottom/>
      <diagonal/>
    </border>
    <border>
      <left style="medium">
        <color rgb="FF2F75B5"/>
      </left>
      <right/>
      <top/>
      <bottom/>
      <diagonal/>
    </border>
    <border>
      <left/>
      <right style="medium">
        <color rgb="FF0070C0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rgb="FF2F75B5"/>
      </right>
      <top/>
      <bottom style="medium">
        <color theme="0" tint="-0.249977111117893"/>
      </bottom>
      <diagonal/>
    </border>
    <border>
      <left/>
      <right style="medium">
        <color rgb="FF2F75B5"/>
      </right>
      <top style="medium">
        <color theme="8"/>
      </top>
      <bottom style="thick">
        <color theme="4"/>
      </bottom>
      <diagonal/>
    </border>
    <border>
      <left/>
      <right style="medium">
        <color rgb="FF2F75B5"/>
      </right>
      <top style="medium">
        <color theme="4"/>
      </top>
      <bottom style="medium">
        <color theme="4"/>
      </bottom>
      <diagonal/>
    </border>
    <border>
      <left style="medium">
        <color rgb="FF2F75B5"/>
      </left>
      <right/>
      <top style="medium">
        <color rgb="FF2F75B5"/>
      </top>
      <bottom style="medium">
        <color rgb="FF2F75B5"/>
      </bottom>
      <diagonal/>
    </border>
    <border>
      <left/>
      <right style="medium">
        <color rgb="FF2F75B5"/>
      </right>
      <top style="medium">
        <color rgb="FF0070C0"/>
      </top>
      <bottom style="medium">
        <color rgb="FF0070C0"/>
      </bottom>
      <diagonal/>
    </border>
    <border>
      <left style="medium">
        <color rgb="FF2F75B5"/>
      </left>
      <right style="medium">
        <color rgb="FF2F75B5"/>
      </right>
      <top/>
      <bottom/>
      <diagonal/>
    </border>
    <border>
      <left style="medium">
        <color rgb="FF2F75B5"/>
      </left>
      <right style="medium">
        <color rgb="FF2F75B5"/>
      </right>
      <top/>
      <bottom style="medium">
        <color rgb="FF2F75B5"/>
      </bottom>
      <diagonal/>
    </border>
    <border>
      <left/>
      <right style="medium">
        <color rgb="FF2F75B5"/>
      </right>
      <top style="medium">
        <color theme="8"/>
      </top>
      <bottom style="medium">
        <color rgb="FF0070C0"/>
      </bottom>
      <diagonal/>
    </border>
    <border>
      <left/>
      <right style="medium">
        <color rgb="FF2F75B5"/>
      </right>
      <top/>
      <bottom style="medium">
        <color theme="4"/>
      </bottom>
      <diagonal/>
    </border>
    <border>
      <left style="medium">
        <color theme="8"/>
      </left>
      <right style="medium">
        <color theme="8"/>
      </right>
      <top style="medium">
        <color rgb="FF2F75B5"/>
      </top>
      <bottom style="medium">
        <color theme="4"/>
      </bottom>
      <diagonal/>
    </border>
    <border>
      <left style="medium">
        <color theme="8"/>
      </left>
      <right style="medium">
        <color theme="8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42">
    <xf numFmtId="0" fontId="0" fillId="0" borderId="0" xfId="0"/>
    <xf numFmtId="0" fontId="3" fillId="0" borderId="1" xfId="2" applyBorder="1"/>
    <xf numFmtId="0" fontId="0" fillId="0" borderId="10" xfId="0" applyBorder="1"/>
    <xf numFmtId="0" fontId="0" fillId="0" borderId="0" xfId="0" applyBorder="1"/>
    <xf numFmtId="0" fontId="3" fillId="0" borderId="12" xfId="2" applyBorder="1"/>
    <xf numFmtId="0" fontId="0" fillId="0" borderId="0" xfId="0" applyNumberFormat="1" applyBorder="1"/>
    <xf numFmtId="0" fontId="0" fillId="0" borderId="13" xfId="0" applyBorder="1"/>
    <xf numFmtId="0" fontId="0" fillId="0" borderId="14" xfId="0" applyBorder="1"/>
    <xf numFmtId="0" fontId="0" fillId="0" borderId="14" xfId="0" applyNumberFormat="1" applyBorder="1"/>
    <xf numFmtId="0" fontId="20" fillId="0" borderId="11" xfId="0" applyFont="1" applyBorder="1"/>
    <xf numFmtId="0" fontId="14" fillId="0" borderId="11" xfId="0" applyFont="1" applyBorder="1"/>
    <xf numFmtId="0" fontId="14" fillId="0" borderId="0" xfId="0" applyFont="1"/>
    <xf numFmtId="14" fontId="20" fillId="0" borderId="0" xfId="0" applyNumberFormat="1" applyFont="1" applyBorder="1"/>
    <xf numFmtId="20" fontId="20" fillId="0" borderId="0" xfId="0" applyNumberFormat="1" applyFont="1" applyBorder="1"/>
    <xf numFmtId="4" fontId="20" fillId="0" borderId="0" xfId="0" applyNumberFormat="1" applyFont="1" applyBorder="1"/>
    <xf numFmtId="0" fontId="20" fillId="0" borderId="0" xfId="0" applyFont="1"/>
    <xf numFmtId="4" fontId="20" fillId="0" borderId="0" xfId="0" applyNumberFormat="1" applyFont="1" applyFill="1" applyBorder="1"/>
    <xf numFmtId="0" fontId="23" fillId="0" borderId="15" xfId="0" applyFont="1" applyBorder="1"/>
    <xf numFmtId="0" fontId="23" fillId="0" borderId="17" xfId="0" applyFont="1" applyBorder="1"/>
    <xf numFmtId="0" fontId="23" fillId="0" borderId="0" xfId="0" applyFont="1"/>
    <xf numFmtId="2" fontId="0" fillId="0" borderId="14" xfId="0" applyNumberFormat="1" applyBorder="1"/>
    <xf numFmtId="2" fontId="0" fillId="0" borderId="0" xfId="0" applyNumberFormat="1" applyBorder="1"/>
    <xf numFmtId="20" fontId="20" fillId="0" borderId="0" xfId="0" applyNumberFormat="1" applyFont="1" applyFill="1" applyBorder="1"/>
    <xf numFmtId="0" fontId="24" fillId="0" borderId="0" xfId="0" applyFont="1"/>
    <xf numFmtId="0" fontId="20" fillId="0" borderId="0" xfId="0" applyFont="1" applyFill="1"/>
    <xf numFmtId="2" fontId="23" fillId="0" borderId="17" xfId="0" applyNumberFormat="1" applyFont="1" applyFill="1" applyBorder="1"/>
    <xf numFmtId="4" fontId="23" fillId="0" borderId="17" xfId="0" applyNumberFormat="1" applyFont="1" applyBorder="1"/>
    <xf numFmtId="0" fontId="23" fillId="0" borderId="0" xfId="0" applyFont="1" applyBorder="1"/>
    <xf numFmtId="0" fontId="26" fillId="0" borderId="0" xfId="0" applyFont="1" applyBorder="1"/>
    <xf numFmtId="0" fontId="20" fillId="34" borderId="0" xfId="0" applyFont="1" applyFill="1"/>
    <xf numFmtId="0" fontId="0" fillId="34" borderId="0" xfId="0" applyFill="1"/>
    <xf numFmtId="0" fontId="20" fillId="0" borderId="0" xfId="0" applyFont="1" applyBorder="1"/>
    <xf numFmtId="0" fontId="22" fillId="0" borderId="16" xfId="0" applyFont="1" applyBorder="1" applyAlignment="1">
      <alignment horizontal="center"/>
    </xf>
    <xf numFmtId="4" fontId="20" fillId="0" borderId="18" xfId="0" applyNumberFormat="1" applyFont="1" applyBorder="1"/>
    <xf numFmtId="4" fontId="20" fillId="34" borderId="18" xfId="0" applyNumberFormat="1" applyFont="1" applyFill="1" applyBorder="1"/>
    <xf numFmtId="0" fontId="0" fillId="34" borderId="0" xfId="0" applyFill="1" applyBorder="1"/>
    <xf numFmtId="4" fontId="14" fillId="0" borderId="18" xfId="0" applyNumberFormat="1" applyFont="1" applyBorder="1"/>
    <xf numFmtId="0" fontId="19" fillId="0" borderId="0" xfId="2" applyFont="1" applyBorder="1" applyAlignment="1"/>
    <xf numFmtId="0" fontId="21" fillId="0" borderId="0" xfId="0" applyFont="1" applyBorder="1" applyAlignment="1"/>
    <xf numFmtId="20" fontId="20" fillId="0" borderId="0" xfId="0" applyNumberFormat="1" applyFont="1" applyBorder="1" applyAlignment="1">
      <alignment vertical="top"/>
    </xf>
    <xf numFmtId="4" fontId="20" fillId="0" borderId="0" xfId="0" applyNumberFormat="1" applyFont="1" applyBorder="1" applyAlignment="1">
      <alignment vertical="top"/>
    </xf>
    <xf numFmtId="4" fontId="20" fillId="0" borderId="18" xfId="0" applyNumberFormat="1" applyFont="1" applyBorder="1" applyAlignment="1">
      <alignment vertical="top"/>
    </xf>
    <xf numFmtId="0" fontId="20" fillId="0" borderId="0" xfId="0" applyFont="1" applyAlignment="1">
      <alignment vertical="top"/>
    </xf>
    <xf numFmtId="0" fontId="0" fillId="34" borderId="18" xfId="0" applyFill="1" applyBorder="1"/>
    <xf numFmtId="0" fontId="0" fillId="34" borderId="23" xfId="0" applyFill="1" applyBorder="1"/>
    <xf numFmtId="0" fontId="21" fillId="34" borderId="0" xfId="0" applyFont="1" applyFill="1" applyBorder="1" applyAlignment="1"/>
    <xf numFmtId="0" fontId="20" fillId="34" borderId="25" xfId="0" applyFont="1" applyFill="1" applyBorder="1"/>
    <xf numFmtId="0" fontId="20" fillId="34" borderId="18" xfId="0" applyFont="1" applyFill="1" applyBorder="1"/>
    <xf numFmtId="0" fontId="3" fillId="0" borderId="19" xfId="2" applyBorder="1"/>
    <xf numFmtId="0" fontId="20" fillId="0" borderId="0" xfId="0" quotePrefix="1" applyFont="1" applyAlignment="1">
      <alignment vertical="top"/>
    </xf>
    <xf numFmtId="0" fontId="3" fillId="0" borderId="27" xfId="2" applyBorder="1" applyAlignment="1">
      <alignment wrapText="1"/>
    </xf>
    <xf numFmtId="0" fontId="27" fillId="35" borderId="28" xfId="0" applyFont="1" applyFill="1" applyBorder="1" applyAlignment="1">
      <alignment wrapText="1"/>
    </xf>
    <xf numFmtId="0" fontId="16" fillId="36" borderId="29" xfId="0" applyFont="1" applyFill="1" applyBorder="1" applyAlignment="1">
      <alignment horizontal="left"/>
    </xf>
    <xf numFmtId="0" fontId="16" fillId="36" borderId="30" xfId="0" applyFont="1" applyFill="1" applyBorder="1" applyAlignment="1">
      <alignment horizontal="center"/>
    </xf>
    <xf numFmtId="0" fontId="16" fillId="36" borderId="31" xfId="0" applyFont="1" applyFill="1" applyBorder="1" applyAlignment="1">
      <alignment horizontal="center"/>
    </xf>
    <xf numFmtId="0" fontId="16" fillId="35" borderId="32" xfId="0" applyFont="1" applyFill="1" applyBorder="1" applyAlignment="1">
      <alignment horizontal="left"/>
    </xf>
    <xf numFmtId="0" fontId="16" fillId="35" borderId="33" xfId="0" applyFont="1" applyFill="1" applyBorder="1" applyAlignment="1">
      <alignment horizontal="right" wrapText="1"/>
    </xf>
    <xf numFmtId="0" fontId="16" fillId="35" borderId="34" xfId="0" applyFont="1" applyFill="1" applyBorder="1" applyAlignment="1">
      <alignment horizontal="right" wrapText="1"/>
    </xf>
    <xf numFmtId="0" fontId="16" fillId="35" borderId="35" xfId="0" applyFont="1" applyFill="1" applyBorder="1" applyAlignment="1">
      <alignment horizontal="right" wrapText="1"/>
    </xf>
    <xf numFmtId="0" fontId="16" fillId="35" borderId="32" xfId="0" applyFont="1" applyFill="1" applyBorder="1" applyAlignment="1">
      <alignment horizontal="right" wrapText="1"/>
    </xf>
    <xf numFmtId="4" fontId="0" fillId="0" borderId="39" xfId="0" applyNumberFormat="1" applyFont="1" applyFill="1" applyBorder="1"/>
    <xf numFmtId="10" fontId="0" fillId="0" borderId="40" xfId="42" applyNumberFormat="1" applyFont="1" applyFill="1" applyBorder="1"/>
    <xf numFmtId="4" fontId="0" fillId="0" borderId="40" xfId="0" applyNumberFormat="1" applyFont="1" applyFill="1" applyBorder="1"/>
    <xf numFmtId="4" fontId="16" fillId="0" borderId="38" xfId="42" applyNumberFormat="1" applyFont="1" applyFill="1" applyBorder="1"/>
    <xf numFmtId="2" fontId="0" fillId="34" borderId="39" xfId="0" applyNumberFormat="1" applyFont="1" applyFill="1" applyBorder="1"/>
    <xf numFmtId="2" fontId="20" fillId="0" borderId="39" xfId="0" applyNumberFormat="1" applyFont="1" applyFill="1" applyBorder="1"/>
    <xf numFmtId="0" fontId="16" fillId="0" borderId="38" xfId="0" applyFont="1" applyBorder="1" applyAlignment="1">
      <alignment vertical="top" wrapText="1"/>
    </xf>
    <xf numFmtId="0" fontId="16" fillId="0" borderId="38" xfId="0" applyFont="1" applyBorder="1"/>
    <xf numFmtId="0" fontId="16" fillId="0" borderId="38" xfId="0" applyFont="1" applyBorder="1" applyAlignment="1">
      <alignment wrapText="1"/>
    </xf>
    <xf numFmtId="0" fontId="16" fillId="0" borderId="42" xfId="0" applyFont="1" applyBorder="1" applyAlignment="1">
      <alignment wrapText="1"/>
    </xf>
    <xf numFmtId="4" fontId="0" fillId="0" borderId="43" xfId="0" applyNumberFormat="1" applyFont="1" applyFill="1" applyBorder="1"/>
    <xf numFmtId="10" fontId="0" fillId="0" borderId="44" xfId="42" applyNumberFormat="1" applyFont="1" applyFill="1" applyBorder="1"/>
    <xf numFmtId="4" fontId="0" fillId="0" borderId="44" xfId="0" applyNumberFormat="1" applyFont="1" applyFill="1" applyBorder="1"/>
    <xf numFmtId="2" fontId="0" fillId="34" borderId="43" xfId="0" applyNumberFormat="1" applyFont="1" applyFill="1" applyBorder="1"/>
    <xf numFmtId="2" fontId="20" fillId="0" borderId="43" xfId="0" applyNumberFormat="1" applyFont="1" applyFill="1" applyBorder="1"/>
    <xf numFmtId="0" fontId="16" fillId="0" borderId="28" xfId="0" applyFont="1" applyBorder="1"/>
    <xf numFmtId="4" fontId="0" fillId="0" borderId="46" xfId="0" applyNumberFormat="1" applyFont="1" applyFill="1" applyBorder="1"/>
    <xf numFmtId="10" fontId="0" fillId="0" borderId="47" xfId="42" applyNumberFormat="1" applyFont="1" applyFill="1" applyBorder="1"/>
    <xf numFmtId="4" fontId="0" fillId="0" borderId="47" xfId="0" applyNumberFormat="1" applyFont="1" applyFill="1" applyBorder="1"/>
    <xf numFmtId="4" fontId="16" fillId="0" borderId="28" xfId="0" applyNumberFormat="1" applyFont="1" applyFill="1" applyBorder="1"/>
    <xf numFmtId="2" fontId="0" fillId="34" borderId="46" xfId="0" applyNumberFormat="1" applyFont="1" applyFill="1" applyBorder="1"/>
    <xf numFmtId="2" fontId="16" fillId="0" borderId="46" xfId="0" applyNumberFormat="1" applyFont="1" applyFill="1" applyBorder="1"/>
    <xf numFmtId="0" fontId="16" fillId="0" borderId="29" xfId="0" applyFont="1" applyFill="1" applyBorder="1"/>
    <xf numFmtId="4" fontId="0" fillId="0" borderId="28" xfId="0" applyNumberFormat="1" applyFont="1" applyFill="1" applyBorder="1"/>
    <xf numFmtId="2" fontId="0" fillId="0" borderId="0" xfId="0" applyNumberFormat="1" applyFont="1"/>
    <xf numFmtId="2" fontId="0" fillId="0" borderId="0" xfId="0" applyNumberFormat="1" applyFont="1" applyBorder="1"/>
    <xf numFmtId="9" fontId="0" fillId="0" borderId="0" xfId="42" applyFont="1"/>
    <xf numFmtId="10" fontId="22" fillId="0" borderId="41" xfId="42" applyNumberFormat="1" applyFont="1" applyFill="1" applyBorder="1"/>
    <xf numFmtId="10" fontId="22" fillId="0" borderId="45" xfId="42" applyNumberFormat="1" applyFont="1" applyFill="1" applyBorder="1"/>
    <xf numFmtId="10" fontId="22" fillId="0" borderId="47" xfId="42" applyNumberFormat="1" applyFont="1" applyFill="1" applyBorder="1"/>
    <xf numFmtId="0" fontId="22" fillId="35" borderId="36" xfId="0" applyFont="1" applyFill="1" applyBorder="1" applyAlignment="1">
      <alignment horizontal="right" wrapText="1"/>
    </xf>
    <xf numFmtId="0" fontId="22" fillId="35" borderId="37" xfId="0" applyFont="1" applyFill="1" applyBorder="1" applyAlignment="1">
      <alignment horizontal="right" wrapText="1"/>
    </xf>
    <xf numFmtId="10" fontId="22" fillId="0" borderId="48" xfId="42" applyNumberFormat="1" applyFont="1" applyFill="1" applyBorder="1"/>
    <xf numFmtId="0" fontId="3" fillId="0" borderId="1" xfId="2" applyBorder="1" applyAlignment="1">
      <alignment horizontal="center"/>
    </xf>
    <xf numFmtId="14" fontId="20" fillId="0" borderId="0" xfId="0" applyNumberFormat="1" applyFont="1" applyBorder="1" applyAlignment="1">
      <alignment horizontal="center"/>
    </xf>
    <xf numFmtId="14" fontId="20" fillId="34" borderId="49" xfId="0" applyNumberFormat="1" applyFont="1" applyFill="1" applyBorder="1" applyAlignment="1">
      <alignment horizontal="center"/>
    </xf>
    <xf numFmtId="20" fontId="20" fillId="34" borderId="50" xfId="0" applyNumberFormat="1" applyFont="1" applyFill="1" applyBorder="1"/>
    <xf numFmtId="4" fontId="20" fillId="34" borderId="50" xfId="0" applyNumberFormat="1" applyFont="1" applyFill="1" applyBorder="1"/>
    <xf numFmtId="0" fontId="0" fillId="34" borderId="49" xfId="0" applyFill="1" applyBorder="1"/>
    <xf numFmtId="0" fontId="20" fillId="34" borderId="24" xfId="0" applyFont="1" applyFill="1" applyBorder="1"/>
    <xf numFmtId="0" fontId="20" fillId="34" borderId="49" xfId="0" applyFont="1" applyFill="1" applyBorder="1"/>
    <xf numFmtId="0" fontId="0" fillId="0" borderId="25" xfId="0" applyBorder="1"/>
    <xf numFmtId="0" fontId="20" fillId="0" borderId="25" xfId="0" applyFont="1" applyBorder="1"/>
    <xf numFmtId="0" fontId="25" fillId="34" borderId="25" xfId="0" applyFont="1" applyFill="1" applyBorder="1"/>
    <xf numFmtId="0" fontId="26" fillId="0" borderId="25" xfId="0" applyFont="1" applyBorder="1"/>
    <xf numFmtId="0" fontId="0" fillId="0" borderId="26" xfId="0" applyBorder="1"/>
    <xf numFmtId="0" fontId="20" fillId="34" borderId="26" xfId="0" applyFont="1" applyFill="1" applyBorder="1"/>
    <xf numFmtId="0" fontId="20" fillId="0" borderId="26" xfId="0" applyFont="1" applyBorder="1"/>
    <xf numFmtId="0" fontId="23" fillId="0" borderId="52" xfId="0" applyFont="1" applyBorder="1"/>
    <xf numFmtId="0" fontId="23" fillId="0" borderId="53" xfId="0" applyFont="1" applyBorder="1"/>
    <xf numFmtId="14" fontId="23" fillId="0" borderId="54" xfId="0" applyNumberFormat="1" applyFont="1" applyBorder="1"/>
    <xf numFmtId="0" fontId="23" fillId="0" borderId="54" xfId="0" applyFont="1" applyBorder="1"/>
    <xf numFmtId="4" fontId="23" fillId="0" borderId="54" xfId="0" applyNumberFormat="1" applyFont="1" applyBorder="1"/>
    <xf numFmtId="4" fontId="23" fillId="0" borderId="53" xfId="0" applyNumberFormat="1" applyFont="1" applyBorder="1"/>
    <xf numFmtId="20" fontId="20" fillId="34" borderId="49" xfId="0" applyNumberFormat="1" applyFont="1" applyFill="1" applyBorder="1"/>
    <xf numFmtId="20" fontId="20" fillId="34" borderId="18" xfId="0" applyNumberFormat="1" applyFont="1" applyFill="1" applyBorder="1"/>
    <xf numFmtId="20" fontId="20" fillId="0" borderId="18" xfId="0" applyNumberFormat="1" applyFont="1" applyBorder="1"/>
    <xf numFmtId="4" fontId="20" fillId="34" borderId="49" xfId="0" applyNumberFormat="1" applyFont="1" applyFill="1" applyBorder="1"/>
    <xf numFmtId="4" fontId="23" fillId="0" borderId="55" xfId="0" applyNumberFormat="1" applyFont="1" applyBorder="1"/>
    <xf numFmtId="0" fontId="3" fillId="0" borderId="56" xfId="2" applyBorder="1"/>
    <xf numFmtId="0" fontId="3" fillId="0" borderId="51" xfId="2" applyBorder="1"/>
    <xf numFmtId="0" fontId="3" fillId="0" borderId="21" xfId="2" applyBorder="1" applyAlignment="1">
      <alignment horizontal="center"/>
    </xf>
    <xf numFmtId="0" fontId="3" fillId="0" borderId="21" xfId="2" applyBorder="1"/>
    <xf numFmtId="14" fontId="20" fillId="0" borderId="0" xfId="0" applyNumberFormat="1" applyFont="1" applyBorder="1" applyAlignment="1">
      <alignment horizontal="center" vertical="top"/>
    </xf>
    <xf numFmtId="20" fontId="20" fillId="0" borderId="18" xfId="0" applyNumberFormat="1" applyFont="1" applyBorder="1" applyAlignment="1">
      <alignment vertical="top"/>
    </xf>
    <xf numFmtId="0" fontId="3" fillId="0" borderId="57" xfId="2" applyBorder="1"/>
    <xf numFmtId="0" fontId="23" fillId="0" borderId="58" xfId="0" applyFont="1" applyBorder="1"/>
    <xf numFmtId="14" fontId="20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0" fontId="20" fillId="0" borderId="18" xfId="0" applyNumberFormat="1" applyFont="1" applyFill="1" applyBorder="1"/>
    <xf numFmtId="4" fontId="20" fillId="0" borderId="18" xfId="0" applyNumberFormat="1" applyFont="1" applyFill="1" applyBorder="1"/>
    <xf numFmtId="0" fontId="20" fillId="0" borderId="59" xfId="0" applyFont="1" applyBorder="1"/>
    <xf numFmtId="0" fontId="0" fillId="33" borderId="10" xfId="0" applyFill="1" applyBorder="1"/>
    <xf numFmtId="0" fontId="0" fillId="33" borderId="0" xfId="0" applyFill="1"/>
    <xf numFmtId="0" fontId="20" fillId="33" borderId="25" xfId="0" applyFont="1" applyFill="1" applyBorder="1"/>
    <xf numFmtId="0" fontId="20" fillId="33" borderId="0" xfId="0" applyFont="1" applyFill="1"/>
    <xf numFmtId="0" fontId="26" fillId="34" borderId="0" xfId="0" applyFont="1" applyFill="1" applyBorder="1"/>
    <xf numFmtId="4" fontId="20" fillId="34" borderId="18" xfId="0" applyNumberFormat="1" applyFont="1" applyFill="1" applyBorder="1" applyAlignment="1">
      <alignment vertical="top"/>
    </xf>
    <xf numFmtId="4" fontId="20" fillId="34" borderId="61" xfId="0" applyNumberFormat="1" applyFont="1" applyFill="1" applyBorder="1"/>
    <xf numFmtId="20" fontId="20" fillId="0" borderId="60" xfId="0" applyNumberFormat="1" applyFont="1" applyBorder="1" applyAlignment="1">
      <alignment vertical="top"/>
    </xf>
    <xf numFmtId="14" fontId="20" fillId="38" borderId="0" xfId="0" applyNumberFormat="1" applyFont="1" applyFill="1" applyBorder="1"/>
    <xf numFmtId="20" fontId="20" fillId="38" borderId="0" xfId="0" applyNumberFormat="1" applyFont="1" applyFill="1" applyBorder="1"/>
    <xf numFmtId="2" fontId="20" fillId="38" borderId="0" xfId="0" applyNumberFormat="1" applyFont="1" applyFill="1" applyBorder="1"/>
    <xf numFmtId="0" fontId="20" fillId="38" borderId="11" xfId="0" applyNumberFormat="1" applyFont="1" applyFill="1" applyBorder="1"/>
    <xf numFmtId="4" fontId="20" fillId="38" borderId="0" xfId="0" applyNumberFormat="1" applyFont="1" applyFill="1" applyBorder="1"/>
    <xf numFmtId="14" fontId="0" fillId="0" borderId="0" xfId="0" applyNumberFormat="1" applyBorder="1" applyAlignment="1">
      <alignment horizontal="center"/>
    </xf>
    <xf numFmtId="20" fontId="0" fillId="0" borderId="0" xfId="0" applyNumberFormat="1" applyBorder="1"/>
    <xf numFmtId="20" fontId="20" fillId="0" borderId="0" xfId="0" applyNumberFormat="1" applyFont="1" applyFill="1" applyBorder="1" applyAlignment="1">
      <alignment vertical="top"/>
    </xf>
    <xf numFmtId="4" fontId="20" fillId="0" borderId="0" xfId="0" applyNumberFormat="1" applyFont="1" applyFill="1" applyBorder="1" applyAlignment="1">
      <alignment vertical="top"/>
    </xf>
    <xf numFmtId="0" fontId="0" fillId="34" borderId="60" xfId="0" applyFill="1" applyBorder="1" applyAlignment="1">
      <alignment vertical="top" wrapText="1"/>
    </xf>
    <xf numFmtId="20" fontId="0" fillId="0" borderId="60" xfId="0" applyNumberFormat="1" applyBorder="1"/>
    <xf numFmtId="4" fontId="20" fillId="0" borderId="60" xfId="0" applyNumberFormat="1" applyFont="1" applyBorder="1" applyAlignment="1">
      <alignment vertical="top"/>
    </xf>
    <xf numFmtId="4" fontId="20" fillId="0" borderId="60" xfId="0" applyNumberFormat="1" applyFont="1" applyFill="1" applyBorder="1" applyAlignment="1">
      <alignment vertical="top"/>
    </xf>
    <xf numFmtId="0" fontId="20" fillId="38" borderId="0" xfId="0" applyFont="1" applyFill="1"/>
    <xf numFmtId="4" fontId="20" fillId="0" borderId="62" xfId="0" applyNumberFormat="1" applyFont="1" applyBorder="1"/>
    <xf numFmtId="0" fontId="0" fillId="0" borderId="63" xfId="0" applyNumberFormat="1" applyBorder="1"/>
    <xf numFmtId="0" fontId="23" fillId="0" borderId="13" xfId="0" applyFont="1" applyBorder="1"/>
    <xf numFmtId="0" fontId="23" fillId="0" borderId="14" xfId="0" applyFont="1" applyBorder="1"/>
    <xf numFmtId="20" fontId="20" fillId="0" borderId="62" xfId="0" applyNumberFormat="1" applyFont="1" applyBorder="1"/>
    <xf numFmtId="0" fontId="23" fillId="0" borderId="63" xfId="0" applyFont="1" applyBorder="1"/>
    <xf numFmtId="4" fontId="23" fillId="0" borderId="14" xfId="0" applyNumberFormat="1" applyFont="1" applyFill="1" applyBorder="1"/>
    <xf numFmtId="20" fontId="20" fillId="34" borderId="49" xfId="0" applyNumberFormat="1" applyFont="1" applyFill="1" applyBorder="1" applyAlignment="1">
      <alignment vertical="top"/>
    </xf>
    <xf numFmtId="0" fontId="0" fillId="34" borderId="25" xfId="0" applyFill="1" applyBorder="1"/>
    <xf numFmtId="0" fontId="26" fillId="34" borderId="25" xfId="0" applyFont="1" applyFill="1" applyBorder="1"/>
    <xf numFmtId="0" fontId="20" fillId="34" borderId="66" xfId="0" applyFont="1" applyFill="1" applyBorder="1"/>
    <xf numFmtId="0" fontId="20" fillId="34" borderId="49" xfId="0" applyFont="1" applyFill="1" applyBorder="1" applyAlignment="1">
      <alignment vertical="top" wrapText="1"/>
    </xf>
    <xf numFmtId="0" fontId="0" fillId="0" borderId="24" xfId="0" applyBorder="1"/>
    <xf numFmtId="0" fontId="0" fillId="0" borderId="49" xfId="0" applyBorder="1"/>
    <xf numFmtId="0" fontId="0" fillId="0" borderId="69" xfId="0" applyBorder="1"/>
    <xf numFmtId="0" fontId="23" fillId="0" borderId="70" xfId="0" applyFont="1" applyBorder="1"/>
    <xf numFmtId="0" fontId="18" fillId="0" borderId="68" xfId="2" applyFont="1" applyBorder="1" applyAlignment="1">
      <alignment horizontal="center"/>
    </xf>
    <xf numFmtId="0" fontId="0" fillId="0" borderId="66" xfId="0" applyNumberFormat="1" applyBorder="1"/>
    <xf numFmtId="0" fontId="23" fillId="0" borderId="71" xfId="0" applyFont="1" applyBorder="1"/>
    <xf numFmtId="0" fontId="3" fillId="0" borderId="68" xfId="2" applyBorder="1"/>
    <xf numFmtId="0" fontId="3" fillId="0" borderId="72" xfId="2" applyBorder="1"/>
    <xf numFmtId="0" fontId="3" fillId="0" borderId="72" xfId="2" applyNumberFormat="1" applyBorder="1"/>
    <xf numFmtId="46" fontId="20" fillId="0" borderId="0" xfId="0" applyNumberFormat="1" applyFont="1"/>
    <xf numFmtId="4" fontId="20" fillId="38" borderId="66" xfId="0" applyNumberFormat="1" applyFont="1" applyFill="1" applyBorder="1"/>
    <xf numFmtId="4" fontId="23" fillId="0" borderId="67" xfId="0" applyNumberFormat="1" applyFont="1" applyBorder="1"/>
    <xf numFmtId="0" fontId="22" fillId="0" borderId="73" xfId="0" applyFont="1" applyBorder="1" applyAlignment="1">
      <alignment horizontal="center"/>
    </xf>
    <xf numFmtId="0" fontId="20" fillId="38" borderId="18" xfId="0" applyFont="1" applyFill="1" applyBorder="1"/>
    <xf numFmtId="20" fontId="20" fillId="38" borderId="18" xfId="0" applyNumberFormat="1" applyFont="1" applyFill="1" applyBorder="1"/>
    <xf numFmtId="14" fontId="0" fillId="0" borderId="0" xfId="0" applyNumberFormat="1" applyBorder="1"/>
    <xf numFmtId="0" fontId="16" fillId="0" borderId="0" xfId="0" applyFont="1" applyBorder="1"/>
    <xf numFmtId="0" fontId="20" fillId="38" borderId="18" xfId="0" applyFont="1" applyFill="1" applyBorder="1" applyAlignment="1">
      <alignment wrapText="1"/>
    </xf>
    <xf numFmtId="14" fontId="20" fillId="38" borderId="0" xfId="0" applyNumberFormat="1" applyFont="1" applyFill="1" applyBorder="1" applyAlignment="1">
      <alignment vertical="top"/>
    </xf>
    <xf numFmtId="20" fontId="20" fillId="38" borderId="0" xfId="0" applyNumberFormat="1" applyFont="1" applyFill="1" applyBorder="1" applyAlignment="1">
      <alignment vertical="top"/>
    </xf>
    <xf numFmtId="20" fontId="20" fillId="38" borderId="18" xfId="0" applyNumberFormat="1" applyFont="1" applyFill="1" applyBorder="1" applyAlignment="1">
      <alignment vertical="top"/>
    </xf>
    <xf numFmtId="2" fontId="20" fillId="38" borderId="0" xfId="0" applyNumberFormat="1" applyFont="1" applyFill="1" applyBorder="1" applyAlignment="1">
      <alignment vertical="top"/>
    </xf>
    <xf numFmtId="0" fontId="20" fillId="38" borderId="0" xfId="0" applyFont="1" applyFill="1" applyAlignment="1">
      <alignment vertical="top"/>
    </xf>
    <xf numFmtId="0" fontId="20" fillId="38" borderId="0" xfId="0" applyNumberFormat="1" applyFont="1" applyFill="1" applyBorder="1"/>
    <xf numFmtId="0" fontId="0" fillId="0" borderId="0" xfId="0" applyFill="1" applyBorder="1"/>
    <xf numFmtId="20" fontId="20" fillId="38" borderId="66" xfId="0" applyNumberFormat="1" applyFont="1" applyFill="1" applyBorder="1"/>
    <xf numFmtId="0" fontId="20" fillId="38" borderId="66" xfId="0" applyNumberFormat="1" applyFont="1" applyFill="1" applyBorder="1"/>
    <xf numFmtId="20" fontId="20" fillId="38" borderId="0" xfId="0" applyNumberFormat="1" applyFont="1" applyFill="1"/>
    <xf numFmtId="20" fontId="0" fillId="38" borderId="18" xfId="0" applyNumberFormat="1" applyFill="1" applyBorder="1"/>
    <xf numFmtId="20" fontId="20" fillId="38" borderId="0" xfId="2" applyNumberFormat="1" applyFont="1" applyFill="1" applyBorder="1"/>
    <xf numFmtId="20" fontId="20" fillId="38" borderId="66" xfId="2" applyNumberFormat="1" applyFont="1" applyFill="1" applyBorder="1"/>
    <xf numFmtId="0" fontId="3" fillId="0" borderId="75" xfId="2" applyBorder="1"/>
    <xf numFmtId="4" fontId="20" fillId="38" borderId="76" xfId="0" applyNumberFormat="1" applyFont="1" applyFill="1" applyBorder="1"/>
    <xf numFmtId="0" fontId="22" fillId="0" borderId="75" xfId="0" applyFont="1" applyBorder="1" applyAlignment="1">
      <alignment horizontal="center"/>
    </xf>
    <xf numFmtId="20" fontId="20" fillId="38" borderId="22" xfId="0" applyNumberFormat="1" applyFont="1" applyFill="1" applyBorder="1"/>
    <xf numFmtId="0" fontId="0" fillId="39" borderId="49" xfId="0" applyFill="1" applyBorder="1"/>
    <xf numFmtId="0" fontId="0" fillId="39" borderId="18" xfId="0" applyFill="1" applyBorder="1"/>
    <xf numFmtId="14" fontId="20" fillId="39" borderId="49" xfId="0" applyNumberFormat="1" applyFont="1" applyFill="1" applyBorder="1" applyAlignment="1">
      <alignment horizontal="center"/>
    </xf>
    <xf numFmtId="20" fontId="20" fillId="39" borderId="50" xfId="0" applyNumberFormat="1" applyFont="1" applyFill="1" applyBorder="1"/>
    <xf numFmtId="20" fontId="20" fillId="39" borderId="49" xfId="0" applyNumberFormat="1" applyFont="1" applyFill="1" applyBorder="1"/>
    <xf numFmtId="4" fontId="20" fillId="39" borderId="18" xfId="0" applyNumberFormat="1" applyFont="1" applyFill="1" applyBorder="1"/>
    <xf numFmtId="4" fontId="20" fillId="39" borderId="50" xfId="0" applyNumberFormat="1" applyFont="1" applyFill="1" applyBorder="1"/>
    <xf numFmtId="0" fontId="20" fillId="34" borderId="77" xfId="0" applyFont="1" applyFill="1" applyBorder="1"/>
    <xf numFmtId="20" fontId="20" fillId="34" borderId="77" xfId="0" applyNumberFormat="1" applyFont="1" applyFill="1" applyBorder="1"/>
    <xf numFmtId="20" fontId="20" fillId="39" borderId="77" xfId="0" applyNumberFormat="1" applyFont="1" applyFill="1" applyBorder="1"/>
    <xf numFmtId="0" fontId="20" fillId="34" borderId="78" xfId="0" applyFont="1" applyFill="1" applyBorder="1"/>
    <xf numFmtId="4" fontId="20" fillId="34" borderId="77" xfId="0" applyNumberFormat="1" applyFont="1" applyFill="1" applyBorder="1"/>
    <xf numFmtId="4" fontId="20" fillId="34" borderId="66" xfId="0" applyNumberFormat="1" applyFont="1" applyFill="1" applyBorder="1"/>
    <xf numFmtId="4" fontId="20" fillId="39" borderId="66" xfId="0" applyNumberFormat="1" applyFont="1" applyFill="1" applyBorder="1"/>
    <xf numFmtId="4" fontId="0" fillId="0" borderId="0" xfId="0" applyNumberFormat="1" applyBorder="1"/>
    <xf numFmtId="4" fontId="20" fillId="0" borderId="18" xfId="0" applyNumberFormat="1" applyFont="1" applyFill="1" applyBorder="1" applyAlignment="1">
      <alignment vertical="top"/>
    </xf>
    <xf numFmtId="4" fontId="20" fillId="0" borderId="51" xfId="0" applyNumberFormat="1" applyFont="1" applyFill="1" applyBorder="1" applyAlignment="1">
      <alignment vertical="top"/>
    </xf>
    <xf numFmtId="0" fontId="0" fillId="34" borderId="18" xfId="0" applyFill="1" applyBorder="1" applyAlignment="1">
      <alignment vertical="top" wrapText="1"/>
    </xf>
    <xf numFmtId="4" fontId="0" fillId="0" borderId="18" xfId="0" applyNumberFormat="1" applyBorder="1"/>
    <xf numFmtId="0" fontId="28" fillId="40" borderId="22" xfId="0" applyFont="1" applyFill="1" applyBorder="1" applyAlignment="1">
      <alignment wrapText="1"/>
    </xf>
    <xf numFmtId="4" fontId="20" fillId="0" borderId="0" xfId="0" applyNumberFormat="1" applyFont="1" applyFill="1"/>
    <xf numFmtId="0" fontId="0" fillId="34" borderId="80" xfId="0" applyFill="1" applyBorder="1"/>
    <xf numFmtId="0" fontId="23" fillId="0" borderId="54" xfId="0" applyFont="1" applyBorder="1" applyAlignment="1">
      <alignment horizontal="center"/>
    </xf>
    <xf numFmtId="20" fontId="20" fillId="0" borderId="54" xfId="0" applyNumberFormat="1" applyFont="1" applyFill="1" applyBorder="1"/>
    <xf numFmtId="0" fontId="20" fillId="34" borderId="81" xfId="0" applyFont="1" applyFill="1" applyBorder="1"/>
    <xf numFmtId="0" fontId="0" fillId="34" borderId="49" xfId="0" applyFill="1" applyBorder="1" applyAlignment="1">
      <alignment vertical="top"/>
    </xf>
    <xf numFmtId="0" fontId="20" fillId="34" borderId="18" xfId="0" applyFont="1" applyFill="1" applyBorder="1" applyAlignment="1">
      <alignment vertical="top" wrapText="1"/>
    </xf>
    <xf numFmtId="14" fontId="20" fillId="34" borderId="49" xfId="0" applyNumberFormat="1" applyFont="1" applyFill="1" applyBorder="1" applyAlignment="1">
      <alignment horizontal="center" vertical="top"/>
    </xf>
    <xf numFmtId="20" fontId="20" fillId="34" borderId="50" xfId="0" applyNumberFormat="1" applyFont="1" applyFill="1" applyBorder="1" applyAlignment="1">
      <alignment vertical="top"/>
    </xf>
    <xf numFmtId="20" fontId="20" fillId="34" borderId="77" xfId="0" applyNumberFormat="1" applyFont="1" applyFill="1" applyBorder="1" applyAlignment="1">
      <alignment vertical="top"/>
    </xf>
    <xf numFmtId="4" fontId="20" fillId="34" borderId="49" xfId="0" applyNumberFormat="1" applyFont="1" applyFill="1" applyBorder="1" applyAlignment="1">
      <alignment vertical="top"/>
    </xf>
    <xf numFmtId="0" fontId="20" fillId="34" borderId="0" xfId="0" applyFont="1" applyFill="1" applyAlignment="1">
      <alignment vertical="top"/>
    </xf>
    <xf numFmtId="0" fontId="20" fillId="34" borderId="25" xfId="0" applyFont="1" applyFill="1" applyBorder="1" applyAlignment="1">
      <alignment vertical="top"/>
    </xf>
    <xf numFmtId="4" fontId="20" fillId="34" borderId="81" xfId="0" applyNumberFormat="1" applyFont="1" applyFill="1" applyBorder="1" applyAlignment="1">
      <alignment vertical="top"/>
    </xf>
    <xf numFmtId="0" fontId="0" fillId="34" borderId="49" xfId="0" applyFont="1" applyFill="1" applyBorder="1"/>
    <xf numFmtId="4" fontId="20" fillId="34" borderId="61" xfId="0" applyNumberFormat="1" applyFont="1" applyFill="1" applyBorder="1" applyAlignment="1">
      <alignment vertical="top"/>
    </xf>
    <xf numFmtId="0" fontId="20" fillId="34" borderId="61" xfId="0" applyFont="1" applyFill="1" applyBorder="1" applyAlignment="1">
      <alignment vertical="top"/>
    </xf>
    <xf numFmtId="2" fontId="20" fillId="34" borderId="61" xfId="0" applyNumberFormat="1" applyFont="1" applyFill="1" applyBorder="1" applyAlignment="1">
      <alignment vertical="top"/>
    </xf>
    <xf numFmtId="2" fontId="20" fillId="34" borderId="82" xfId="0" applyNumberFormat="1" applyFont="1" applyFill="1" applyBorder="1" applyAlignment="1">
      <alignment vertical="top"/>
    </xf>
    <xf numFmtId="4" fontId="20" fillId="34" borderId="50" xfId="0" applyNumberFormat="1" applyFont="1" applyFill="1" applyBorder="1" applyAlignment="1">
      <alignment vertical="top"/>
    </xf>
    <xf numFmtId="2" fontId="20" fillId="34" borderId="50" xfId="0" applyNumberFormat="1" applyFont="1" applyFill="1" applyBorder="1" applyAlignment="1">
      <alignment vertical="top"/>
    </xf>
    <xf numFmtId="2" fontId="20" fillId="34" borderId="83" xfId="0" applyNumberFormat="1" applyFont="1" applyFill="1" applyBorder="1" applyAlignment="1">
      <alignment vertical="top"/>
    </xf>
    <xf numFmtId="20" fontId="20" fillId="34" borderId="66" xfId="0" applyNumberFormat="1" applyFont="1" applyFill="1" applyBorder="1" applyAlignment="1">
      <alignment vertical="top"/>
    </xf>
    <xf numFmtId="20" fontId="20" fillId="34" borderId="83" xfId="0" applyNumberFormat="1" applyFont="1" applyFill="1" applyBorder="1" applyAlignment="1">
      <alignment vertical="top"/>
    </xf>
    <xf numFmtId="4" fontId="20" fillId="34" borderId="57" xfId="0" applyNumberFormat="1" applyFont="1" applyFill="1" applyBorder="1" applyAlignment="1">
      <alignment vertical="top"/>
    </xf>
    <xf numFmtId="20" fontId="20" fillId="34" borderId="81" xfId="0" applyNumberFormat="1" applyFont="1" applyFill="1" applyBorder="1" applyAlignment="1">
      <alignment vertical="top"/>
    </xf>
    <xf numFmtId="20" fontId="20" fillId="34" borderId="57" xfId="0" applyNumberFormat="1" applyFont="1" applyFill="1" applyBorder="1" applyAlignment="1">
      <alignment vertical="top"/>
    </xf>
    <xf numFmtId="0" fontId="20" fillId="0" borderId="50" xfId="0" applyFont="1" applyBorder="1"/>
    <xf numFmtId="4" fontId="20" fillId="0" borderId="50" xfId="0" applyNumberFormat="1" applyFont="1" applyBorder="1"/>
    <xf numFmtId="2" fontId="20" fillId="34" borderId="49" xfId="0" applyNumberFormat="1" applyFont="1" applyFill="1" applyBorder="1" applyAlignment="1">
      <alignment vertical="top"/>
    </xf>
    <xf numFmtId="4" fontId="20" fillId="39" borderId="61" xfId="0" applyNumberFormat="1" applyFont="1" applyFill="1" applyBorder="1"/>
    <xf numFmtId="14" fontId="0" fillId="0" borderId="0" xfId="0" applyNumberFormat="1" applyAlignment="1">
      <alignment horizontal="center"/>
    </xf>
    <xf numFmtId="2" fontId="0" fillId="0" borderId="0" xfId="0" applyNumberFormat="1"/>
    <xf numFmtId="0" fontId="20" fillId="34" borderId="84" xfId="0" applyFont="1" applyFill="1" applyBorder="1"/>
    <xf numFmtId="0" fontId="20" fillId="34" borderId="85" xfId="0" applyFont="1" applyFill="1" applyBorder="1" applyAlignment="1">
      <alignment vertical="top"/>
    </xf>
    <xf numFmtId="4" fontId="20" fillId="34" borderId="0" xfId="0" applyNumberFormat="1" applyFont="1" applyFill="1" applyBorder="1" applyAlignment="1">
      <alignment vertical="top"/>
    </xf>
    <xf numFmtId="0" fontId="0" fillId="0" borderId="86" xfId="0" applyBorder="1"/>
    <xf numFmtId="2" fontId="20" fillId="0" borderId="86" xfId="0" applyNumberFormat="1" applyFont="1" applyFill="1" applyBorder="1" applyAlignment="1">
      <alignment vertical="top"/>
    </xf>
    <xf numFmtId="2" fontId="3" fillId="0" borderId="68" xfId="2" applyNumberFormat="1" applyBorder="1" applyAlignment="1"/>
    <xf numFmtId="2" fontId="20" fillId="38" borderId="0" xfId="0" applyNumberFormat="1" applyFont="1" applyFill="1"/>
    <xf numFmtId="2" fontId="23" fillId="0" borderId="70" xfId="0" applyNumberFormat="1" applyFont="1" applyFill="1" applyBorder="1"/>
    <xf numFmtId="0" fontId="3" fillId="0" borderId="0" xfId="2" applyFill="1" applyBorder="1"/>
    <xf numFmtId="14" fontId="0" fillId="38" borderId="0" xfId="0" applyNumberFormat="1" applyFill="1" applyBorder="1"/>
    <xf numFmtId="0" fontId="0" fillId="38" borderId="0" xfId="0" applyFill="1"/>
    <xf numFmtId="20" fontId="0" fillId="38" borderId="0" xfId="0" applyNumberFormat="1" applyFill="1"/>
    <xf numFmtId="2" fontId="0" fillId="38" borderId="0" xfId="0" applyNumberFormat="1" applyFill="1"/>
    <xf numFmtId="2" fontId="23" fillId="0" borderId="17" xfId="0" applyNumberFormat="1" applyFont="1" applyBorder="1"/>
    <xf numFmtId="2" fontId="0" fillId="0" borderId="20" xfId="0" applyNumberFormat="1" applyBorder="1"/>
    <xf numFmtId="20" fontId="20" fillId="38" borderId="89" xfId="0" applyNumberFormat="1" applyFont="1" applyFill="1" applyBorder="1"/>
    <xf numFmtId="20" fontId="20" fillId="38" borderId="90" xfId="0" applyNumberFormat="1" applyFont="1" applyFill="1" applyBorder="1"/>
    <xf numFmtId="2" fontId="20" fillId="38" borderId="89" xfId="0" applyNumberFormat="1" applyFont="1" applyFill="1" applyBorder="1"/>
    <xf numFmtId="4" fontId="20" fillId="38" borderId="89" xfId="0" applyNumberFormat="1" applyFont="1" applyFill="1" applyBorder="1"/>
    <xf numFmtId="4" fontId="20" fillId="38" borderId="88" xfId="0" applyNumberFormat="1" applyFont="1" applyFill="1" applyBorder="1"/>
    <xf numFmtId="14" fontId="20" fillId="38" borderId="89" xfId="0" applyNumberFormat="1" applyFont="1" applyFill="1" applyBorder="1"/>
    <xf numFmtId="0" fontId="3" fillId="0" borderId="91" xfId="2" applyBorder="1"/>
    <xf numFmtId="0" fontId="20" fillId="38" borderId="90" xfId="0" applyFont="1" applyFill="1" applyBorder="1"/>
    <xf numFmtId="0" fontId="23" fillId="0" borderId="92" xfId="0" applyFont="1" applyBorder="1"/>
    <xf numFmtId="0" fontId="0" fillId="38" borderId="18" xfId="0" applyFill="1" applyBorder="1"/>
    <xf numFmtId="0" fontId="20" fillId="38" borderId="18" xfId="0" applyNumberFormat="1" applyFont="1" applyFill="1" applyBorder="1"/>
    <xf numFmtId="2" fontId="20" fillId="38" borderId="87" xfId="0" applyNumberFormat="1" applyFont="1" applyFill="1" applyBorder="1"/>
    <xf numFmtId="0" fontId="20" fillId="38" borderId="90" xfId="0" applyNumberFormat="1" applyFont="1" applyFill="1" applyBorder="1"/>
    <xf numFmtId="0" fontId="20" fillId="38" borderId="18" xfId="0" applyNumberFormat="1" applyFont="1" applyFill="1" applyBorder="1" applyAlignment="1">
      <alignment vertical="top"/>
    </xf>
    <xf numFmtId="0" fontId="18" fillId="0" borderId="0" xfId="2" applyFont="1" applyBorder="1" applyAlignment="1">
      <alignment horizontal="center"/>
    </xf>
    <xf numFmtId="4" fontId="20" fillId="38" borderId="18" xfId="0" applyNumberFormat="1" applyFont="1" applyFill="1" applyBorder="1"/>
    <xf numFmtId="0" fontId="20" fillId="0" borderId="62" xfId="0" applyNumberFormat="1" applyFont="1" applyBorder="1"/>
    <xf numFmtId="0" fontId="23" fillId="0" borderId="63" xfId="0" applyNumberFormat="1" applyFont="1" applyBorder="1"/>
    <xf numFmtId="4" fontId="23" fillId="0" borderId="74" xfId="0" applyNumberFormat="1" applyFont="1" applyBorder="1"/>
    <xf numFmtId="0" fontId="20" fillId="38" borderId="22" xfId="0" applyNumberFormat="1" applyFont="1" applyFill="1" applyBorder="1"/>
    <xf numFmtId="0" fontId="23" fillId="0" borderId="94" xfId="0" applyNumberFormat="1" applyFont="1" applyBorder="1"/>
    <xf numFmtId="4" fontId="20" fillId="38" borderId="95" xfId="0" applyNumberFormat="1" applyFont="1" applyFill="1" applyBorder="1"/>
    <xf numFmtId="4" fontId="20" fillId="38" borderId="96" xfId="0" applyNumberFormat="1" applyFont="1" applyFill="1" applyBorder="1"/>
    <xf numFmtId="0" fontId="3" fillId="0" borderId="97" xfId="2" applyBorder="1"/>
    <xf numFmtId="14" fontId="20" fillId="38" borderId="18" xfId="0" applyNumberFormat="1" applyFont="1" applyFill="1" applyBorder="1"/>
    <xf numFmtId="14" fontId="20" fillId="38" borderId="22" xfId="0" applyNumberFormat="1" applyFont="1" applyFill="1" applyBorder="1"/>
    <xf numFmtId="0" fontId="23" fillId="0" borderId="94" xfId="0" applyFont="1" applyBorder="1"/>
    <xf numFmtId="20" fontId="0" fillId="0" borderId="18" xfId="0" applyNumberFormat="1" applyBorder="1"/>
    <xf numFmtId="20" fontId="0" fillId="0" borderId="51" xfId="0" applyNumberFormat="1" applyBorder="1"/>
    <xf numFmtId="0" fontId="0" fillId="34" borderId="81" xfId="0" applyFill="1" applyBorder="1" applyAlignment="1">
      <alignment vertical="top" wrapText="1"/>
    </xf>
    <xf numFmtId="0" fontId="0" fillId="0" borderId="60" xfId="0" applyFill="1" applyBorder="1" applyAlignment="1">
      <alignment vertical="top" wrapText="1"/>
    </xf>
    <xf numFmtId="14" fontId="0" fillId="0" borderId="0" xfId="0" applyNumberFormat="1" applyFill="1" applyBorder="1" applyAlignment="1">
      <alignment horizontal="center"/>
    </xf>
    <xf numFmtId="20" fontId="0" fillId="0" borderId="0" xfId="0" applyNumberFormat="1" applyFill="1" applyBorder="1"/>
    <xf numFmtId="20" fontId="0" fillId="0" borderId="60" xfId="0" applyNumberFormat="1" applyFill="1" applyBorder="1"/>
    <xf numFmtId="0" fontId="0" fillId="0" borderId="79" xfId="0" applyFill="1" applyBorder="1"/>
    <xf numFmtId="14" fontId="0" fillId="0" borderId="0" xfId="0" applyNumberFormat="1" applyFill="1" applyAlignment="1">
      <alignment horizontal="center"/>
    </xf>
    <xf numFmtId="20" fontId="0" fillId="0" borderId="0" xfId="0" applyNumberFormat="1" applyFill="1"/>
    <xf numFmtId="20" fontId="0" fillId="0" borderId="79" xfId="0" applyNumberFormat="1" applyFill="1" applyBorder="1"/>
    <xf numFmtId="2" fontId="0" fillId="0" borderId="79" xfId="0" applyNumberFormat="1" applyFill="1" applyBorder="1"/>
    <xf numFmtId="2" fontId="0" fillId="0" borderId="0" xfId="0" applyNumberFormat="1" applyFill="1"/>
    <xf numFmtId="0" fontId="0" fillId="0" borderId="0" xfId="0" applyFill="1"/>
    <xf numFmtId="0" fontId="0" fillId="0" borderId="18" xfId="0" applyFill="1" applyBorder="1"/>
    <xf numFmtId="20" fontId="0" fillId="0" borderId="18" xfId="0" applyNumberFormat="1" applyFill="1" applyBorder="1"/>
    <xf numFmtId="2" fontId="0" fillId="0" borderId="18" xfId="0" applyNumberFormat="1" applyFill="1" applyBorder="1"/>
    <xf numFmtId="0" fontId="20" fillId="38" borderId="98" xfId="0" applyFont="1" applyFill="1" applyBorder="1" applyAlignment="1">
      <alignment wrapText="1"/>
    </xf>
    <xf numFmtId="0" fontId="20" fillId="38" borderId="98" xfId="0" applyNumberFormat="1" applyFont="1" applyFill="1" applyBorder="1" applyAlignment="1">
      <alignment vertical="top"/>
    </xf>
    <xf numFmtId="0" fontId="23" fillId="0" borderId="92" xfId="0" applyNumberFormat="1" applyFont="1" applyBorder="1"/>
    <xf numFmtId="4" fontId="20" fillId="0" borderId="100" xfId="0" applyNumberFormat="1" applyFont="1" applyBorder="1"/>
    <xf numFmtId="4" fontId="23" fillId="0" borderId="99" xfId="0" applyNumberFormat="1" applyFont="1" applyBorder="1"/>
    <xf numFmtId="0" fontId="3" fillId="0" borderId="1" xfId="2" applyBorder="1" applyAlignment="1">
      <alignment horizontal="right"/>
    </xf>
    <xf numFmtId="0" fontId="3" fillId="0" borderId="91" xfId="2" applyBorder="1" applyAlignment="1">
      <alignment horizontal="right"/>
    </xf>
    <xf numFmtId="0" fontId="3" fillId="0" borderId="91" xfId="2" applyNumberFormat="1" applyBorder="1" applyAlignment="1">
      <alignment horizontal="right"/>
    </xf>
    <xf numFmtId="2" fontId="3" fillId="0" borderId="93" xfId="2" applyNumberFormat="1" applyBorder="1" applyAlignment="1">
      <alignment horizontal="right"/>
    </xf>
    <xf numFmtId="0" fontId="3" fillId="0" borderId="54" xfId="2" applyBorder="1" applyAlignment="1">
      <alignment horizontal="right" wrapText="1"/>
    </xf>
    <xf numFmtId="0" fontId="3" fillId="0" borderId="53" xfId="2" applyBorder="1" applyAlignment="1">
      <alignment horizontal="right" wrapText="1"/>
    </xf>
    <xf numFmtId="0" fontId="3" fillId="0" borderId="19" xfId="2" applyBorder="1" applyAlignment="1">
      <alignment horizontal="right"/>
    </xf>
    <xf numFmtId="0" fontId="3" fillId="0" borderId="19" xfId="2" applyBorder="1" applyAlignment="1">
      <alignment horizontal="right" wrapText="1"/>
    </xf>
    <xf numFmtId="0" fontId="3" fillId="0" borderId="1" xfId="2" applyBorder="1" applyAlignment="1">
      <alignment horizontal="right" wrapText="1"/>
    </xf>
    <xf numFmtId="0" fontId="3" fillId="0" borderId="21" xfId="2" applyBorder="1" applyAlignment="1">
      <alignment horizontal="right"/>
    </xf>
    <xf numFmtId="0" fontId="3" fillId="0" borderId="51" xfId="2" applyBorder="1" applyAlignment="1">
      <alignment horizontal="right"/>
    </xf>
    <xf numFmtId="0" fontId="3" fillId="0" borderId="51" xfId="2" applyBorder="1" applyAlignment="1">
      <alignment horizontal="right" wrapText="1"/>
    </xf>
    <xf numFmtId="0" fontId="3" fillId="0" borderId="21" xfId="2" applyBorder="1" applyAlignment="1">
      <alignment horizontal="right" wrapText="1"/>
    </xf>
    <xf numFmtId="0" fontId="22" fillId="0" borderId="64" xfId="2" applyFont="1" applyBorder="1" applyAlignment="1"/>
    <xf numFmtId="0" fontId="3" fillId="0" borderId="14" xfId="2" applyBorder="1" applyAlignment="1">
      <alignment horizontal="right"/>
    </xf>
    <xf numFmtId="0" fontId="3" fillId="0" borderId="63" xfId="2" applyBorder="1" applyAlignment="1">
      <alignment horizontal="right"/>
    </xf>
    <xf numFmtId="0" fontId="3" fillId="0" borderId="63" xfId="2" applyNumberFormat="1" applyBorder="1" applyAlignment="1">
      <alignment horizontal="right"/>
    </xf>
    <xf numFmtId="0" fontId="3" fillId="0" borderId="65" xfId="2" applyBorder="1" applyAlignment="1">
      <alignment horizontal="right"/>
    </xf>
    <xf numFmtId="0" fontId="3" fillId="0" borderId="14" xfId="2" applyNumberFormat="1" applyBorder="1" applyAlignment="1">
      <alignment horizontal="right" wrapText="1"/>
    </xf>
    <xf numFmtId="0" fontId="16" fillId="37" borderId="29" xfId="0" applyFont="1" applyFill="1" applyBorder="1" applyAlignment="1">
      <alignment horizontal="left"/>
    </xf>
    <xf numFmtId="0" fontId="16" fillId="37" borderId="31" xfId="0" applyFont="1" applyFill="1" applyBorder="1" applyAlignment="1">
      <alignment horizontal="left"/>
    </xf>
    <xf numFmtId="0" fontId="16" fillId="36" borderId="29" xfId="0" applyFont="1" applyFill="1" applyBorder="1" applyAlignment="1">
      <alignment horizontal="left"/>
    </xf>
    <xf numFmtId="0" fontId="16" fillId="36" borderId="31" xfId="0" applyFont="1" applyFill="1" applyBorder="1" applyAlignment="1">
      <alignment horizontal="left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2" builtinId="5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2F75B5"/>
      <color rgb="FF00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H24" sqref="H24"/>
    </sheetView>
  </sheetViews>
  <sheetFormatPr baseColWidth="10" defaultRowHeight="15" x14ac:dyDescent="0.25"/>
  <cols>
    <col min="1" max="1" width="16.42578125" customWidth="1"/>
    <col min="2" max="2" width="15.140625" customWidth="1"/>
    <col min="4" max="4" width="14.140625" customWidth="1"/>
    <col min="5" max="5" width="14.5703125" customWidth="1"/>
    <col min="6" max="6" width="12.85546875" customWidth="1"/>
    <col min="7" max="7" width="10.85546875" customWidth="1"/>
    <col min="8" max="8" width="11.7109375" customWidth="1"/>
  </cols>
  <sheetData>
    <row r="1" spans="1:11" ht="32.25" thickBot="1" x14ac:dyDescent="0.3">
      <c r="A1" s="51" t="s">
        <v>207</v>
      </c>
      <c r="B1" s="52" t="s">
        <v>37</v>
      </c>
      <c r="C1" s="53"/>
      <c r="D1" s="53"/>
      <c r="E1" s="53"/>
      <c r="F1" s="53"/>
      <c r="G1" s="54"/>
      <c r="H1" s="338" t="s">
        <v>38</v>
      </c>
      <c r="I1" s="339"/>
      <c r="J1" s="340" t="s">
        <v>33</v>
      </c>
      <c r="K1" s="341"/>
    </row>
    <row r="2" spans="1:11" ht="45" customHeight="1" x14ac:dyDescent="0.25">
      <c r="A2" s="55" t="s">
        <v>39</v>
      </c>
      <c r="B2" s="56" t="s">
        <v>204</v>
      </c>
      <c r="C2" s="57" t="s">
        <v>40</v>
      </c>
      <c r="D2" s="58" t="s">
        <v>41</v>
      </c>
      <c r="E2" s="58" t="s">
        <v>42</v>
      </c>
      <c r="F2" s="59" t="s">
        <v>49</v>
      </c>
      <c r="G2" s="90" t="s">
        <v>50</v>
      </c>
      <c r="H2" s="56" t="s">
        <v>43</v>
      </c>
      <c r="I2" s="90" t="s">
        <v>44</v>
      </c>
      <c r="J2" s="56" t="s">
        <v>45</v>
      </c>
      <c r="K2" s="91" t="s">
        <v>44</v>
      </c>
    </row>
    <row r="3" spans="1:11" x14ac:dyDescent="0.25">
      <c r="A3" s="66" t="s">
        <v>46</v>
      </c>
      <c r="B3" s="60">
        <f>'Franz. Kirche '!H72</f>
        <v>507.5</v>
      </c>
      <c r="C3" s="61">
        <f>B3/$B$8</f>
        <v>0.72785944783076373</v>
      </c>
      <c r="D3" s="62">
        <f>C3*D7</f>
        <v>366.11330225887417</v>
      </c>
      <c r="E3" s="62">
        <f>C3*E7</f>
        <v>64.415561133022592</v>
      </c>
      <c r="F3" s="63">
        <f>B3+D3+E3</f>
        <v>938.02886339189683</v>
      </c>
      <c r="G3" s="87">
        <f>F3/F7</f>
        <v>0.51363661239802705</v>
      </c>
      <c r="H3" s="64">
        <f>'Franz. Kirche '!I72</f>
        <v>178</v>
      </c>
      <c r="I3" s="87">
        <f>H3/$H$7</f>
        <v>0.2793252255786583</v>
      </c>
      <c r="J3" s="65">
        <f>'Franz. Kirche '!J72</f>
        <v>0</v>
      </c>
      <c r="K3" s="87">
        <f>J3/$J$7</f>
        <v>0</v>
      </c>
    </row>
    <row r="4" spans="1:11" x14ac:dyDescent="0.25">
      <c r="A4" s="67" t="s">
        <v>21</v>
      </c>
      <c r="B4" s="60">
        <f>EKD!G11</f>
        <v>36.5</v>
      </c>
      <c r="C4" s="61">
        <f>B4/$B$8</f>
        <v>5.2348512011473648E-2</v>
      </c>
      <c r="D4" s="62">
        <f>C4*D7</f>
        <v>26.331301541771246</v>
      </c>
      <c r="E4" s="62">
        <f>C4*E7</f>
        <v>4.6328433130154183</v>
      </c>
      <c r="F4" s="63">
        <f>B4+D4+E4</f>
        <v>67.464144854786667</v>
      </c>
      <c r="G4" s="87">
        <f>F4/F7</f>
        <v>3.6941352418774359E-2</v>
      </c>
      <c r="H4" s="64">
        <f>EKD!H11</f>
        <v>32.5</v>
      </c>
      <c r="I4" s="87">
        <f t="shared" ref="I4:I6" si="0">H4/$H$7</f>
        <v>5.1000392310710081E-2</v>
      </c>
      <c r="J4" s="65">
        <f>EKD!I11</f>
        <v>32.5</v>
      </c>
      <c r="K4" s="87">
        <f>J4/$J$7</f>
        <v>7.8078078078078081E-2</v>
      </c>
    </row>
    <row r="5" spans="1:11" x14ac:dyDescent="0.25">
      <c r="A5" s="68" t="s">
        <v>48</v>
      </c>
      <c r="B5" s="60">
        <f>EAzB!G23</f>
        <v>153.25</v>
      </c>
      <c r="C5" s="61">
        <f t="shared" ref="C5" si="1">B5/$B$8</f>
        <v>0.21979204015776263</v>
      </c>
      <c r="D5" s="62">
        <f>C5*D7</f>
        <v>110.5553961993546</v>
      </c>
      <c r="E5" s="62">
        <f>C5*E7</f>
        <v>19.451595553961994</v>
      </c>
      <c r="F5" s="63">
        <f>B5+D5+E5</f>
        <v>283.25699175331658</v>
      </c>
      <c r="G5" s="87">
        <f>F5/F7</f>
        <v>0.1551030755664978</v>
      </c>
      <c r="H5" s="64">
        <f>EAzB!H23</f>
        <v>129.25</v>
      </c>
      <c r="I5" s="87">
        <f t="shared" si="0"/>
        <v>0.20282463711259319</v>
      </c>
      <c r="J5" s="65">
        <f>EAzB!I23</f>
        <v>129.25</v>
      </c>
      <c r="K5" s="87">
        <f>J5/$J$7</f>
        <v>0.31051051051051048</v>
      </c>
    </row>
    <row r="6" spans="1:11" ht="15.75" thickBot="1" x14ac:dyDescent="0.3">
      <c r="A6" s="69" t="s">
        <v>202</v>
      </c>
      <c r="B6" s="70">
        <f>'Besondere Orte'!H89</f>
        <v>537.5</v>
      </c>
      <c r="C6" s="71"/>
      <c r="D6" s="72"/>
      <c r="E6" s="72"/>
      <c r="F6" s="63">
        <f>B6+D6+E6</f>
        <v>537.5</v>
      </c>
      <c r="G6" s="88">
        <f>F6/F7</f>
        <v>0.2943189596167009</v>
      </c>
      <c r="H6" s="73">
        <f>'Besondere Orte'!I89</f>
        <v>297.5</v>
      </c>
      <c r="I6" s="87">
        <f t="shared" si="0"/>
        <v>0.46684974499803844</v>
      </c>
      <c r="J6" s="74">
        <f>'Besondere Orte'!J89</f>
        <v>254.5</v>
      </c>
      <c r="K6" s="87">
        <f>J6/$J$7</f>
        <v>0.61141141141141142</v>
      </c>
    </row>
    <row r="7" spans="1:11" ht="15.75" thickBot="1" x14ac:dyDescent="0.3">
      <c r="A7" s="75" t="s">
        <v>47</v>
      </c>
      <c r="B7" s="76">
        <f>SUM(B3:B6)</f>
        <v>1234.75</v>
      </c>
      <c r="C7" s="77">
        <f>SUM(C3:C6)</f>
        <v>1</v>
      </c>
      <c r="D7" s="78">
        <f>Orgelprobe!H51+Orgelprobe!H51</f>
        <v>503</v>
      </c>
      <c r="E7" s="78">
        <f>'Offene Kirche'!I24</f>
        <v>88.5</v>
      </c>
      <c r="F7" s="79">
        <f t="shared" ref="F7:K7" si="2">SUM(F3:F6)</f>
        <v>1826.25</v>
      </c>
      <c r="G7" s="89">
        <f t="shared" si="2"/>
        <v>1.0000000000000002</v>
      </c>
      <c r="H7" s="80">
        <f t="shared" si="2"/>
        <v>637.25</v>
      </c>
      <c r="I7" s="89">
        <f t="shared" si="2"/>
        <v>1</v>
      </c>
      <c r="J7" s="81">
        <f t="shared" si="2"/>
        <v>416.25</v>
      </c>
      <c r="K7" s="92">
        <f t="shared" si="2"/>
        <v>1</v>
      </c>
    </row>
    <row r="8" spans="1:11" ht="15.75" thickBot="1" x14ac:dyDescent="0.3">
      <c r="A8" s="82" t="s">
        <v>205</v>
      </c>
      <c r="B8" s="83">
        <f>B7-B6</f>
        <v>697.25</v>
      </c>
      <c r="C8" s="84"/>
      <c r="D8" s="85"/>
      <c r="E8" s="84"/>
      <c r="F8" s="84"/>
      <c r="G8" s="86"/>
      <c r="H8" s="84"/>
      <c r="I8" s="86"/>
      <c r="J8" s="84"/>
      <c r="K8" s="86"/>
    </row>
    <row r="22" spans="8:8" x14ac:dyDescent="0.25">
      <c r="H22" t="s">
        <v>51</v>
      </c>
    </row>
  </sheetData>
  <mergeCells count="2">
    <mergeCell ref="H1:I1"/>
    <mergeCell ref="J1:K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256"/>
  <sheetViews>
    <sheetView zoomScale="90" zoomScaleNormal="90" workbookViewId="0">
      <pane ySplit="1" topLeftCell="A2" activePane="bottomLeft" state="frozen"/>
      <selection pane="bottomLeft" activeCell="B91" sqref="B91"/>
    </sheetView>
  </sheetViews>
  <sheetFormatPr baseColWidth="10" defaultRowHeight="15" x14ac:dyDescent="0.25"/>
  <cols>
    <col min="1" max="1" width="47.7109375" style="2" customWidth="1"/>
    <col min="2" max="2" width="37.5703125" style="3" customWidth="1"/>
    <col min="3" max="3" width="16.5703125" style="3" customWidth="1"/>
    <col min="4" max="4" width="11.85546875" style="3" customWidth="1"/>
    <col min="5" max="7" width="11.5703125" style="3" customWidth="1"/>
    <col min="8" max="8" width="14" style="3" customWidth="1"/>
    <col min="9" max="9" width="15.42578125" style="3" customWidth="1"/>
    <col min="10" max="10" width="15" style="3" customWidth="1"/>
    <col min="11" max="12" width="15.42578125" style="3" customWidth="1"/>
    <col min="13" max="13" width="17.140625" style="3" customWidth="1"/>
    <col min="14" max="14" width="15.42578125" style="28" customWidth="1"/>
  </cols>
  <sheetData>
    <row r="1" spans="1:74" ht="39.75" thickBot="1" x14ac:dyDescent="0.35">
      <c r="A1" s="119" t="s">
        <v>35</v>
      </c>
      <c r="B1" s="120" t="s">
        <v>34</v>
      </c>
      <c r="C1" s="121" t="s">
        <v>54</v>
      </c>
      <c r="D1" s="328" t="s">
        <v>5</v>
      </c>
      <c r="E1" s="329" t="s">
        <v>6</v>
      </c>
      <c r="F1" s="328" t="s">
        <v>8</v>
      </c>
      <c r="G1" s="330" t="s">
        <v>203</v>
      </c>
      <c r="H1" s="328" t="s">
        <v>1</v>
      </c>
      <c r="I1" s="331" t="s">
        <v>7</v>
      </c>
      <c r="J1" s="330" t="s">
        <v>33</v>
      </c>
      <c r="K1" s="105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</row>
    <row r="2" spans="1:74" s="15" customFormat="1" ht="15.75" customHeight="1" x14ac:dyDescent="0.25">
      <c r="A2" s="99" t="s">
        <v>52</v>
      </c>
      <c r="B2" s="43" t="s">
        <v>22</v>
      </c>
      <c r="C2" s="95">
        <v>44927</v>
      </c>
      <c r="D2" s="96">
        <v>0.54166666666666663</v>
      </c>
      <c r="E2" s="115">
        <v>0.95833333333333337</v>
      </c>
      <c r="F2" s="114">
        <f t="shared" ref="F2:F13" si="0">E2-D2</f>
        <v>0.41666666666666674</v>
      </c>
      <c r="G2" s="34">
        <v>10</v>
      </c>
      <c r="H2" s="117">
        <f>G2</f>
        <v>10</v>
      </c>
      <c r="I2" s="97"/>
      <c r="J2" s="212"/>
      <c r="K2" s="106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</row>
    <row r="3" spans="1:74" s="15" customFormat="1" ht="15.75" customHeight="1" x14ac:dyDescent="0.25">
      <c r="A3" s="99" t="s">
        <v>89</v>
      </c>
      <c r="B3" s="43" t="s">
        <v>22</v>
      </c>
      <c r="C3" s="95">
        <v>44933</v>
      </c>
      <c r="D3" s="96">
        <v>0.58333333333333337</v>
      </c>
      <c r="E3" s="115">
        <v>0.83333333333333337</v>
      </c>
      <c r="F3" s="114">
        <f>E3-D3</f>
        <v>0.25</v>
      </c>
      <c r="G3" s="34">
        <v>6</v>
      </c>
      <c r="H3" s="117">
        <v>6</v>
      </c>
      <c r="I3" s="97">
        <v>6</v>
      </c>
      <c r="J3" s="213">
        <v>6</v>
      </c>
      <c r="K3" s="106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</row>
    <row r="4" spans="1:74" s="15" customFormat="1" ht="15" customHeight="1" x14ac:dyDescent="0.25">
      <c r="A4" s="98" t="s">
        <v>53</v>
      </c>
      <c r="B4" s="47" t="s">
        <v>22</v>
      </c>
      <c r="C4" s="95">
        <v>44934</v>
      </c>
      <c r="D4" s="96">
        <v>0.5625</v>
      </c>
      <c r="E4" s="115">
        <v>0.8125</v>
      </c>
      <c r="F4" s="114">
        <f t="shared" ref="F4" si="1">E4-D4</f>
        <v>0.25</v>
      </c>
      <c r="G4" s="34">
        <v>6</v>
      </c>
      <c r="H4" s="117">
        <f t="shared" ref="H4" si="2">G4</f>
        <v>6</v>
      </c>
      <c r="I4" s="97"/>
      <c r="J4" s="214"/>
      <c r="K4" s="107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</row>
    <row r="5" spans="1:74" s="29" customFormat="1" ht="15" customHeight="1" x14ac:dyDescent="0.25">
      <c r="A5" s="99" t="s">
        <v>23</v>
      </c>
      <c r="B5" s="47" t="s">
        <v>22</v>
      </c>
      <c r="C5" s="95">
        <v>44939</v>
      </c>
      <c r="D5" s="96">
        <v>0.66666666666666663</v>
      </c>
      <c r="E5" s="115">
        <v>0.91666666666666663</v>
      </c>
      <c r="F5" s="114">
        <f t="shared" si="0"/>
        <v>0.25</v>
      </c>
      <c r="G5" s="34">
        <v>6</v>
      </c>
      <c r="H5" s="117">
        <f t="shared" ref="H5:H11" si="3">G5</f>
        <v>6</v>
      </c>
      <c r="I5" s="97"/>
      <c r="J5" s="214"/>
      <c r="K5" s="106"/>
      <c r="L5" s="10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</row>
    <row r="6" spans="1:74" s="29" customFormat="1" ht="15" customHeight="1" x14ac:dyDescent="0.25">
      <c r="A6" s="99" t="s">
        <v>23</v>
      </c>
      <c r="B6" s="47" t="s">
        <v>22</v>
      </c>
      <c r="C6" s="95">
        <v>44940</v>
      </c>
      <c r="D6" s="96">
        <v>0.66666666666666663</v>
      </c>
      <c r="E6" s="115">
        <v>0.91666666666666663</v>
      </c>
      <c r="F6" s="114">
        <f t="shared" ref="F6" si="4">E6-D6</f>
        <v>0.25</v>
      </c>
      <c r="G6" s="34">
        <v>6</v>
      </c>
      <c r="H6" s="117">
        <f t="shared" ref="H6" si="5">G6</f>
        <v>6</v>
      </c>
      <c r="I6" s="97"/>
      <c r="J6" s="214"/>
      <c r="K6" s="106"/>
      <c r="L6" s="10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</row>
    <row r="7" spans="1:74" s="15" customFormat="1" ht="15" customHeight="1" x14ac:dyDescent="0.25">
      <c r="A7" s="98" t="s">
        <v>90</v>
      </c>
      <c r="B7" s="47" t="s">
        <v>68</v>
      </c>
      <c r="C7" s="95">
        <v>44943</v>
      </c>
      <c r="D7" s="96">
        <v>0.29166666666666669</v>
      </c>
      <c r="E7" s="115">
        <v>0.79166666666666663</v>
      </c>
      <c r="F7" s="114">
        <f t="shared" si="0"/>
        <v>0.49999999999999994</v>
      </c>
      <c r="G7" s="34">
        <v>12</v>
      </c>
      <c r="H7" s="117">
        <f>G7</f>
        <v>12</v>
      </c>
      <c r="I7" s="97">
        <f>G7</f>
        <v>12</v>
      </c>
      <c r="J7" s="214">
        <f>G7</f>
        <v>12</v>
      </c>
      <c r="K7" s="107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</row>
    <row r="8" spans="1:74" s="15" customFormat="1" ht="15" customHeight="1" x14ac:dyDescent="0.25">
      <c r="A8" s="98" t="s">
        <v>90</v>
      </c>
      <c r="B8" s="47" t="s">
        <v>68</v>
      </c>
      <c r="C8" s="95">
        <v>44944</v>
      </c>
      <c r="D8" s="96">
        <v>0.375</v>
      </c>
      <c r="E8" s="115">
        <v>4.1666666666666664E-2</v>
      </c>
      <c r="F8" s="114">
        <v>0.66666666666666663</v>
      </c>
      <c r="G8" s="34">
        <v>16</v>
      </c>
      <c r="H8" s="117">
        <f>G8</f>
        <v>16</v>
      </c>
      <c r="I8" s="97">
        <f>G8</f>
        <v>16</v>
      </c>
      <c r="J8" s="214">
        <f>G8</f>
        <v>16</v>
      </c>
      <c r="K8" s="107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</row>
    <row r="9" spans="1:74" s="15" customFormat="1" ht="15" customHeight="1" x14ac:dyDescent="0.25">
      <c r="A9" s="98" t="s">
        <v>90</v>
      </c>
      <c r="B9" s="47" t="s">
        <v>68</v>
      </c>
      <c r="C9" s="95">
        <v>44945</v>
      </c>
      <c r="D9" s="96">
        <v>0.29166666666666669</v>
      </c>
      <c r="E9" s="115">
        <v>0.5</v>
      </c>
      <c r="F9" s="114">
        <f t="shared" ref="F9" si="6">E9-D9</f>
        <v>0.20833333333333331</v>
      </c>
      <c r="G9" s="34">
        <v>5</v>
      </c>
      <c r="H9" s="117">
        <f>G9</f>
        <v>5</v>
      </c>
      <c r="I9" s="97">
        <f>G9</f>
        <v>5</v>
      </c>
      <c r="J9" s="214">
        <f>G9</f>
        <v>5</v>
      </c>
      <c r="K9" s="107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</row>
    <row r="10" spans="1:74" s="29" customFormat="1" ht="15" customHeight="1" x14ac:dyDescent="0.25">
      <c r="A10" s="99" t="s">
        <v>23</v>
      </c>
      <c r="B10" s="43" t="s">
        <v>22</v>
      </c>
      <c r="C10" s="95">
        <v>44946</v>
      </c>
      <c r="D10" s="96">
        <v>0.66666666666666663</v>
      </c>
      <c r="E10" s="115">
        <v>0.91666666666666663</v>
      </c>
      <c r="F10" s="114">
        <f>E10-D10</f>
        <v>0.25</v>
      </c>
      <c r="G10" s="34">
        <v>6</v>
      </c>
      <c r="H10" s="117">
        <f>G10</f>
        <v>6</v>
      </c>
      <c r="I10" s="97"/>
      <c r="J10" s="214"/>
      <c r="K10" s="10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</row>
    <row r="11" spans="1:74" s="15" customFormat="1" ht="15" customHeight="1" x14ac:dyDescent="0.25">
      <c r="A11" s="99" t="s">
        <v>23</v>
      </c>
      <c r="B11" s="43" t="s">
        <v>22</v>
      </c>
      <c r="C11" s="95">
        <v>44947</v>
      </c>
      <c r="D11" s="96">
        <v>0.66666666666666663</v>
      </c>
      <c r="E11" s="115">
        <v>0.91666666666666663</v>
      </c>
      <c r="F11" s="114">
        <f t="shared" si="0"/>
        <v>0.25</v>
      </c>
      <c r="G11" s="34">
        <v>6</v>
      </c>
      <c r="H11" s="117">
        <f t="shared" si="3"/>
        <v>6</v>
      </c>
      <c r="I11" s="97"/>
      <c r="J11" s="214"/>
      <c r="K11" s="107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</row>
    <row r="12" spans="1:74" s="29" customFormat="1" ht="15" customHeight="1" x14ac:dyDescent="0.25">
      <c r="A12" s="99" t="s">
        <v>10</v>
      </c>
      <c r="B12" s="47" t="s">
        <v>22</v>
      </c>
      <c r="C12" s="95">
        <v>44955</v>
      </c>
      <c r="D12" s="96">
        <v>0.60416666666666663</v>
      </c>
      <c r="E12" s="115">
        <v>0.8125</v>
      </c>
      <c r="F12" s="114">
        <f t="shared" si="0"/>
        <v>0.20833333333333337</v>
      </c>
      <c r="G12" s="34">
        <v>5</v>
      </c>
      <c r="H12" s="117">
        <f t="shared" ref="H12:H17" si="7">G12</f>
        <v>5</v>
      </c>
      <c r="I12" s="97"/>
      <c r="J12" s="214"/>
      <c r="K12" s="10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</row>
    <row r="13" spans="1:74" s="29" customFormat="1" ht="15" customHeight="1" x14ac:dyDescent="0.25">
      <c r="A13" s="100" t="s">
        <v>91</v>
      </c>
      <c r="B13" s="47" t="s">
        <v>61</v>
      </c>
      <c r="C13" s="95">
        <v>44981</v>
      </c>
      <c r="D13" s="96">
        <v>0.6875</v>
      </c>
      <c r="E13" s="115">
        <v>0.9375</v>
      </c>
      <c r="F13" s="114">
        <f t="shared" si="0"/>
        <v>0.25</v>
      </c>
      <c r="G13" s="34">
        <v>6</v>
      </c>
      <c r="H13" s="117">
        <f>G13</f>
        <v>6</v>
      </c>
      <c r="I13" s="97"/>
      <c r="J13" s="214">
        <f>G13</f>
        <v>6</v>
      </c>
      <c r="K13" s="10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</row>
    <row r="14" spans="1:74" s="29" customFormat="1" ht="15" customHeight="1" x14ac:dyDescent="0.25">
      <c r="A14" s="98" t="s">
        <v>92</v>
      </c>
      <c r="B14" s="47" t="s">
        <v>22</v>
      </c>
      <c r="C14" s="95">
        <v>45000</v>
      </c>
      <c r="D14" s="96">
        <v>0.66666666666666663</v>
      </c>
      <c r="E14" s="115">
        <v>0.91666666666666663</v>
      </c>
      <c r="F14" s="114">
        <f t="shared" ref="F14" si="8">E14-D14</f>
        <v>0.25</v>
      </c>
      <c r="G14" s="34">
        <v>6</v>
      </c>
      <c r="H14" s="117">
        <f>G14</f>
        <v>6</v>
      </c>
      <c r="I14" s="97"/>
      <c r="J14" s="214">
        <f>G14</f>
        <v>6</v>
      </c>
      <c r="K14" s="10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</row>
    <row r="15" spans="1:74" s="29" customFormat="1" ht="15" customHeight="1" x14ac:dyDescent="0.25">
      <c r="A15" s="98" t="s">
        <v>93</v>
      </c>
      <c r="B15" s="47" t="s">
        <v>94</v>
      </c>
      <c r="C15" s="95">
        <v>45014</v>
      </c>
      <c r="D15" s="96">
        <v>0.33333333333333331</v>
      </c>
      <c r="E15" s="115">
        <v>0.6875</v>
      </c>
      <c r="F15" s="114">
        <f t="shared" ref="F15" si="9">E15-D15</f>
        <v>0.35416666666666669</v>
      </c>
      <c r="G15" s="34">
        <v>8.5</v>
      </c>
      <c r="H15" s="117">
        <f>G15</f>
        <v>8.5</v>
      </c>
      <c r="I15" s="97">
        <f>G15</f>
        <v>8.5</v>
      </c>
      <c r="J15" s="214">
        <f>G15</f>
        <v>8.5</v>
      </c>
      <c r="K15" s="10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</row>
    <row r="16" spans="1:74" s="15" customFormat="1" ht="15" customHeight="1" x14ac:dyDescent="0.25">
      <c r="A16" s="98" t="s">
        <v>95</v>
      </c>
      <c r="B16" s="47" t="s">
        <v>61</v>
      </c>
      <c r="C16" s="95">
        <v>45015</v>
      </c>
      <c r="D16" s="96">
        <v>0.72916666666666663</v>
      </c>
      <c r="E16" s="115">
        <v>1</v>
      </c>
      <c r="F16" s="114">
        <f t="shared" ref="F16:F21" si="10">E16-D16</f>
        <v>0.27083333333333337</v>
      </c>
      <c r="G16" s="34">
        <v>6.5</v>
      </c>
      <c r="H16" s="117"/>
      <c r="I16" s="97">
        <f>G16</f>
        <v>6.5</v>
      </c>
      <c r="J16" s="214">
        <f>G16</f>
        <v>6.5</v>
      </c>
      <c r="K16" s="107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</row>
    <row r="17" spans="1:74" s="15" customFormat="1" ht="15" customHeight="1" x14ac:dyDescent="0.25">
      <c r="A17" s="98" t="s">
        <v>96</v>
      </c>
      <c r="B17" s="47" t="s">
        <v>97</v>
      </c>
      <c r="C17" s="95">
        <v>45034</v>
      </c>
      <c r="D17" s="96">
        <v>0.33333333333333331</v>
      </c>
      <c r="E17" s="115">
        <v>0.54166666666666663</v>
      </c>
      <c r="F17" s="114">
        <f t="shared" si="10"/>
        <v>0.20833333333333331</v>
      </c>
      <c r="G17" s="34">
        <v>5</v>
      </c>
      <c r="H17" s="117">
        <f t="shared" si="7"/>
        <v>5</v>
      </c>
      <c r="I17" s="97">
        <f>G17</f>
        <v>5</v>
      </c>
      <c r="J17" s="214"/>
      <c r="K17" s="107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</row>
    <row r="18" spans="1:74" s="15" customFormat="1" ht="15" customHeight="1" x14ac:dyDescent="0.25">
      <c r="A18" s="98" t="s">
        <v>96</v>
      </c>
      <c r="B18" s="47" t="s">
        <v>98</v>
      </c>
      <c r="C18" s="95">
        <v>45034</v>
      </c>
      <c r="D18" s="96">
        <v>0.75</v>
      </c>
      <c r="E18" s="115">
        <v>0.91666666666666663</v>
      </c>
      <c r="F18" s="114">
        <f t="shared" si="10"/>
        <v>0.16666666666666663</v>
      </c>
      <c r="G18" s="34">
        <v>4</v>
      </c>
      <c r="H18" s="117"/>
      <c r="I18" s="97">
        <f>G18</f>
        <v>4</v>
      </c>
      <c r="J18" s="214"/>
      <c r="K18" s="107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</row>
    <row r="19" spans="1:74" s="15" customFormat="1" ht="15" customHeight="1" x14ac:dyDescent="0.25">
      <c r="A19" s="98" t="s">
        <v>99</v>
      </c>
      <c r="B19" s="47" t="s">
        <v>100</v>
      </c>
      <c r="C19" s="95">
        <v>45035</v>
      </c>
      <c r="D19" s="96">
        <v>0.33333333333333331</v>
      </c>
      <c r="E19" s="115">
        <v>0.84375</v>
      </c>
      <c r="F19" s="114">
        <f t="shared" si="10"/>
        <v>0.51041666666666674</v>
      </c>
      <c r="G19" s="34">
        <v>12.25</v>
      </c>
      <c r="H19" s="138">
        <f>G19</f>
        <v>12.25</v>
      </c>
      <c r="I19" s="249"/>
      <c r="J19" s="214"/>
      <c r="K19" s="107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</row>
    <row r="20" spans="1:74" s="15" customFormat="1" ht="15" customHeight="1" x14ac:dyDescent="0.25">
      <c r="A20" s="98" t="s">
        <v>101</v>
      </c>
      <c r="B20" s="47" t="s">
        <v>102</v>
      </c>
      <c r="C20" s="95">
        <v>45043</v>
      </c>
      <c r="D20" s="96">
        <v>0.5</v>
      </c>
      <c r="E20" s="115">
        <v>0.95833333333333337</v>
      </c>
      <c r="F20" s="114">
        <f t="shared" si="10"/>
        <v>0.45833333333333337</v>
      </c>
      <c r="G20" s="34">
        <v>11</v>
      </c>
      <c r="H20" s="138">
        <f>G20</f>
        <v>11</v>
      </c>
      <c r="I20" s="250">
        <f>G20</f>
        <v>11</v>
      </c>
      <c r="J20" s="214">
        <f>G20</f>
        <v>11</v>
      </c>
      <c r="K20" s="107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</row>
    <row r="21" spans="1:74" s="15" customFormat="1" ht="15" customHeight="1" x14ac:dyDescent="0.25">
      <c r="A21" s="98" t="s">
        <v>59</v>
      </c>
      <c r="B21" s="47" t="s">
        <v>103</v>
      </c>
      <c r="C21" s="95">
        <v>45050</v>
      </c>
      <c r="D21" s="96">
        <v>0.375</v>
      </c>
      <c r="E21" s="115">
        <v>0.95833333333333337</v>
      </c>
      <c r="F21" s="114">
        <f t="shared" si="10"/>
        <v>0.58333333333333337</v>
      </c>
      <c r="G21" s="34">
        <v>14</v>
      </c>
      <c r="H21" s="138">
        <f>G21</f>
        <v>14</v>
      </c>
      <c r="I21" s="250">
        <f>G21</f>
        <v>14</v>
      </c>
      <c r="J21" s="214">
        <f>G21</f>
        <v>14</v>
      </c>
      <c r="K21" s="107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</row>
    <row r="22" spans="1:74" s="135" customFormat="1" ht="15" customHeight="1" x14ac:dyDescent="0.25">
      <c r="A22" s="98" t="s">
        <v>58</v>
      </c>
      <c r="B22" s="43" t="s">
        <v>22</v>
      </c>
      <c r="C22" s="95">
        <v>45052</v>
      </c>
      <c r="D22" s="96">
        <v>0.5625</v>
      </c>
      <c r="E22" s="210">
        <v>0.96875</v>
      </c>
      <c r="F22" s="114">
        <f t="shared" ref="F22:F30" si="11">E22-D22</f>
        <v>0.40625</v>
      </c>
      <c r="G22" s="34">
        <v>9.75</v>
      </c>
      <c r="H22" s="138">
        <f t="shared" ref="H22:H24" si="12">G22</f>
        <v>9.75</v>
      </c>
      <c r="I22" s="97"/>
      <c r="J22" s="214"/>
      <c r="K22" s="10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</row>
    <row r="23" spans="1:74" s="135" customFormat="1" ht="15" customHeight="1" x14ac:dyDescent="0.25">
      <c r="A23" s="202" t="s">
        <v>104</v>
      </c>
      <c r="B23" s="203" t="s">
        <v>69</v>
      </c>
      <c r="C23" s="204">
        <v>45053</v>
      </c>
      <c r="D23" s="205">
        <v>0.41666666666666669</v>
      </c>
      <c r="E23" s="211">
        <v>0.54166666666666663</v>
      </c>
      <c r="F23" s="206">
        <f t="shared" si="11"/>
        <v>0.12499999999999994</v>
      </c>
      <c r="G23" s="207">
        <v>3</v>
      </c>
      <c r="H23" s="252">
        <f t="shared" si="12"/>
        <v>3</v>
      </c>
      <c r="I23" s="208"/>
      <c r="J23" s="215"/>
      <c r="K23" s="106" t="s">
        <v>105</v>
      </c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134"/>
      <c r="BF23" s="134"/>
      <c r="BG23" s="134"/>
      <c r="BH23" s="134"/>
      <c r="BI23" s="134"/>
      <c r="BJ23" s="134"/>
      <c r="BK23" s="134"/>
      <c r="BL23" s="134"/>
      <c r="BM23" s="134"/>
      <c r="BN23" s="134"/>
      <c r="BO23" s="134"/>
      <c r="BP23" s="134"/>
      <c r="BQ23" s="134"/>
      <c r="BR23" s="134"/>
      <c r="BS23" s="134"/>
      <c r="BT23" s="134"/>
      <c r="BU23" s="134"/>
      <c r="BV23" s="134"/>
    </row>
    <row r="24" spans="1:74" s="29" customFormat="1" ht="15" customHeight="1" x14ac:dyDescent="0.25">
      <c r="A24" s="98" t="s">
        <v>10</v>
      </c>
      <c r="B24" s="43" t="s">
        <v>22</v>
      </c>
      <c r="C24" s="95">
        <v>45053</v>
      </c>
      <c r="D24" s="114">
        <v>0.60416666666666663</v>
      </c>
      <c r="E24" s="210">
        <v>0.8125</v>
      </c>
      <c r="F24" s="114">
        <f t="shared" si="11"/>
        <v>0.20833333333333337</v>
      </c>
      <c r="G24" s="34">
        <v>5</v>
      </c>
      <c r="H24" s="117">
        <f t="shared" si="12"/>
        <v>5</v>
      </c>
      <c r="I24" s="97"/>
      <c r="J24" s="214"/>
      <c r="K24" s="10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</row>
    <row r="25" spans="1:74" s="29" customFormat="1" ht="15" customHeight="1" x14ac:dyDescent="0.25">
      <c r="A25" s="98" t="s">
        <v>106</v>
      </c>
      <c r="B25" s="43" t="s">
        <v>63</v>
      </c>
      <c r="C25" s="95">
        <v>45056</v>
      </c>
      <c r="D25" s="114">
        <v>0.52083333333333337</v>
      </c>
      <c r="E25" s="210">
        <v>0.875</v>
      </c>
      <c r="F25" s="114">
        <f t="shared" si="11"/>
        <v>0.35416666666666663</v>
      </c>
      <c r="G25" s="34">
        <v>8.5</v>
      </c>
      <c r="H25" s="117">
        <f>G25</f>
        <v>8.5</v>
      </c>
      <c r="I25" s="97">
        <f>G25</f>
        <v>8.5</v>
      </c>
      <c r="J25" s="214">
        <f>G25</f>
        <v>8.5</v>
      </c>
      <c r="K25" s="10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</row>
    <row r="26" spans="1:74" s="29" customFormat="1" ht="15" customHeight="1" x14ac:dyDescent="0.25">
      <c r="A26" s="98" t="s">
        <v>107</v>
      </c>
      <c r="B26" s="43" t="s">
        <v>108</v>
      </c>
      <c r="C26" s="95">
        <v>45058</v>
      </c>
      <c r="D26" s="114">
        <v>0.33333333333333331</v>
      </c>
      <c r="E26" s="210">
        <v>0.75</v>
      </c>
      <c r="F26" s="114">
        <f t="shared" si="11"/>
        <v>0.41666666666666669</v>
      </c>
      <c r="G26" s="34">
        <v>10</v>
      </c>
      <c r="H26" s="117">
        <f>G26</f>
        <v>10</v>
      </c>
      <c r="I26" s="97">
        <f>G26</f>
        <v>10</v>
      </c>
      <c r="J26" s="214">
        <f>G26</f>
        <v>10</v>
      </c>
      <c r="K26" s="10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</row>
    <row r="27" spans="1:74" s="29" customFormat="1" ht="15" customHeight="1" x14ac:dyDescent="0.25">
      <c r="A27" s="100" t="s">
        <v>53</v>
      </c>
      <c r="B27" s="209" t="s">
        <v>60</v>
      </c>
      <c r="C27" s="95">
        <v>45060</v>
      </c>
      <c r="D27" s="96">
        <v>0.5625</v>
      </c>
      <c r="E27" s="210">
        <v>0.8125</v>
      </c>
      <c r="F27" s="114">
        <f t="shared" si="11"/>
        <v>0.25</v>
      </c>
      <c r="G27" s="34">
        <v>6</v>
      </c>
      <c r="H27" s="138">
        <v>6</v>
      </c>
      <c r="I27" s="100"/>
      <c r="J27" s="164"/>
      <c r="K27" s="255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</row>
    <row r="28" spans="1:74" s="29" customFormat="1" ht="15" customHeight="1" x14ac:dyDescent="0.25">
      <c r="A28" s="100" t="s">
        <v>111</v>
      </c>
      <c r="B28" s="209" t="s">
        <v>110</v>
      </c>
      <c r="C28" s="95">
        <v>45062</v>
      </c>
      <c r="D28" s="96">
        <v>0.54166666666666663</v>
      </c>
      <c r="E28" s="210">
        <v>0.75</v>
      </c>
      <c r="F28" s="114">
        <f t="shared" si="11"/>
        <v>0.20833333333333337</v>
      </c>
      <c r="G28" s="34">
        <v>5</v>
      </c>
      <c r="H28" s="117"/>
      <c r="I28" s="117">
        <f>G28</f>
        <v>5</v>
      </c>
      <c r="J28" s="164"/>
      <c r="K28" s="255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</row>
    <row r="29" spans="1:74" s="29" customFormat="1" ht="15" customHeight="1" x14ac:dyDescent="0.25">
      <c r="A29" s="98" t="s">
        <v>52</v>
      </c>
      <c r="B29" s="209" t="s">
        <v>22</v>
      </c>
      <c r="C29" s="95">
        <v>45066</v>
      </c>
      <c r="D29" s="96">
        <v>0.6875</v>
      </c>
      <c r="E29" s="210">
        <v>0.9375</v>
      </c>
      <c r="F29" s="114">
        <f t="shared" si="11"/>
        <v>0.25</v>
      </c>
      <c r="G29" s="34">
        <v>6</v>
      </c>
      <c r="H29" s="117">
        <f>G29</f>
        <v>6</v>
      </c>
      <c r="I29" s="100"/>
      <c r="J29" s="164"/>
      <c r="K29" s="255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</row>
    <row r="30" spans="1:74" s="29" customFormat="1" ht="15" customHeight="1" x14ac:dyDescent="0.25">
      <c r="A30" s="98" t="s">
        <v>109</v>
      </c>
      <c r="B30" s="209" t="s">
        <v>22</v>
      </c>
      <c r="C30" s="95">
        <v>45073</v>
      </c>
      <c r="D30" s="96">
        <v>0.5</v>
      </c>
      <c r="E30" s="210">
        <v>0.91666666666666663</v>
      </c>
      <c r="F30" s="114">
        <f t="shared" si="11"/>
        <v>0.41666666666666663</v>
      </c>
      <c r="G30" s="34">
        <v>10</v>
      </c>
      <c r="H30" s="117">
        <f>G30</f>
        <v>10</v>
      </c>
      <c r="I30" s="100"/>
      <c r="J30" s="164"/>
      <c r="K30" s="255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</row>
    <row r="31" spans="1:74" s="29" customFormat="1" ht="15" customHeight="1" x14ac:dyDescent="0.25">
      <c r="A31" s="98" t="s">
        <v>52</v>
      </c>
      <c r="B31" s="209" t="s">
        <v>22</v>
      </c>
      <c r="C31" s="95">
        <v>45074</v>
      </c>
      <c r="D31" s="96">
        <v>0.5625</v>
      </c>
      <c r="E31" s="210">
        <v>0.8125</v>
      </c>
      <c r="F31" s="114">
        <f t="shared" ref="F31:F88" si="13">E31-D31</f>
        <v>0.25</v>
      </c>
      <c r="G31" s="34">
        <v>6</v>
      </c>
      <c r="H31" s="117">
        <f>G31</f>
        <v>6</v>
      </c>
      <c r="I31" s="100"/>
      <c r="J31" s="164"/>
      <c r="K31" s="255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</row>
    <row r="32" spans="1:74" s="29" customFormat="1" ht="15" customHeight="1" x14ac:dyDescent="0.25">
      <c r="A32" s="98" t="s">
        <v>62</v>
      </c>
      <c r="B32" s="226" t="s">
        <v>122</v>
      </c>
      <c r="C32" s="95">
        <v>45078</v>
      </c>
      <c r="D32" s="96">
        <v>0.625</v>
      </c>
      <c r="E32" s="210">
        <v>0.96875</v>
      </c>
      <c r="F32" s="114">
        <f t="shared" si="13"/>
        <v>0.34375</v>
      </c>
      <c r="G32" s="34">
        <v>8.25</v>
      </c>
      <c r="H32" s="117">
        <f>G32</f>
        <v>8.25</v>
      </c>
      <c r="I32" s="100"/>
      <c r="J32" s="164"/>
      <c r="K32" s="255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</row>
    <row r="33" spans="1:74" s="233" customFormat="1" ht="18" customHeight="1" x14ac:dyDescent="0.25">
      <c r="A33" s="227" t="s">
        <v>109</v>
      </c>
      <c r="B33" s="228" t="s">
        <v>123</v>
      </c>
      <c r="C33" s="229">
        <v>45092</v>
      </c>
      <c r="D33" s="230">
        <v>0.63541666666666663</v>
      </c>
      <c r="E33" s="231">
        <v>0.85416666666666663</v>
      </c>
      <c r="F33" s="161">
        <f t="shared" si="13"/>
        <v>0.21875</v>
      </c>
      <c r="G33" s="137">
        <v>5.25</v>
      </c>
      <c r="H33" s="238"/>
      <c r="I33" s="232">
        <f>G33</f>
        <v>5.25</v>
      </c>
      <c r="J33" s="235">
        <f>G33</f>
        <v>5.25</v>
      </c>
      <c r="K33" s="256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234"/>
      <c r="BR33" s="234"/>
      <c r="BS33" s="234"/>
      <c r="BT33" s="234"/>
      <c r="BU33" s="234"/>
      <c r="BV33" s="234"/>
    </row>
    <row r="34" spans="1:74" s="233" customFormat="1" ht="16.5" customHeight="1" x14ac:dyDescent="0.25">
      <c r="A34" s="227" t="s">
        <v>124</v>
      </c>
      <c r="B34" s="228" t="s">
        <v>125</v>
      </c>
      <c r="C34" s="229">
        <v>45107</v>
      </c>
      <c r="D34" s="230">
        <v>0.66666666666666663</v>
      </c>
      <c r="E34" s="231">
        <v>0.91666666666666663</v>
      </c>
      <c r="F34" s="161">
        <f t="shared" si="13"/>
        <v>0.25</v>
      </c>
      <c r="G34" s="137">
        <v>6</v>
      </c>
      <c r="H34" s="237">
        <f>G34</f>
        <v>6</v>
      </c>
      <c r="I34" s="241">
        <f>H34</f>
        <v>6</v>
      </c>
      <c r="J34" s="137"/>
      <c r="K34" s="256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  <c r="BP34" s="234"/>
      <c r="BQ34" s="234"/>
      <c r="BR34" s="234"/>
      <c r="BS34" s="234"/>
      <c r="BT34" s="234"/>
      <c r="BU34" s="234"/>
      <c r="BV34" s="234"/>
    </row>
    <row r="35" spans="1:74" s="233" customFormat="1" ht="16.5" customHeight="1" x14ac:dyDescent="0.25">
      <c r="A35" s="227" t="s">
        <v>158</v>
      </c>
      <c r="B35" s="228"/>
      <c r="C35" s="229">
        <v>45092</v>
      </c>
      <c r="D35" s="230">
        <v>0.45833333333333331</v>
      </c>
      <c r="E35" s="231">
        <v>0.5</v>
      </c>
      <c r="F35" s="161">
        <f t="shared" si="13"/>
        <v>4.1666666666666685E-2</v>
      </c>
      <c r="G35" s="137">
        <v>1</v>
      </c>
      <c r="H35" s="237">
        <f>G35</f>
        <v>1</v>
      </c>
      <c r="I35" s="241">
        <f>G35</f>
        <v>1</v>
      </c>
      <c r="J35" s="235">
        <f>H35</f>
        <v>1</v>
      </c>
      <c r="K35" s="256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  <c r="BP35" s="234"/>
      <c r="BQ35" s="234"/>
      <c r="BR35" s="234"/>
      <c r="BS35" s="234"/>
      <c r="BT35" s="234"/>
      <c r="BU35" s="234"/>
      <c r="BV35" s="234"/>
    </row>
    <row r="36" spans="1:74" s="233" customFormat="1" ht="17.25" customHeight="1" x14ac:dyDescent="0.25">
      <c r="A36" s="227" t="s">
        <v>64</v>
      </c>
      <c r="B36" s="228" t="s">
        <v>126</v>
      </c>
      <c r="C36" s="229">
        <v>45112</v>
      </c>
      <c r="D36" s="230">
        <v>0.57291666666666663</v>
      </c>
      <c r="E36" s="231">
        <v>0.6875</v>
      </c>
      <c r="F36" s="161">
        <f t="shared" si="13"/>
        <v>0.11458333333333337</v>
      </c>
      <c r="G36" s="137">
        <v>2.75</v>
      </c>
      <c r="H36" s="237">
        <f t="shared" ref="H36:H42" si="14">G36</f>
        <v>2.75</v>
      </c>
      <c r="I36" s="241"/>
      <c r="J36" s="137"/>
      <c r="K36" s="256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  <c r="BP36" s="234"/>
      <c r="BQ36" s="234"/>
      <c r="BR36" s="234"/>
      <c r="BS36" s="234"/>
      <c r="BT36" s="234"/>
      <c r="BU36" s="234"/>
      <c r="BV36" s="234"/>
    </row>
    <row r="37" spans="1:74" s="233" customFormat="1" ht="17.25" customHeight="1" x14ac:dyDescent="0.25">
      <c r="A37" s="227" t="s">
        <v>111</v>
      </c>
      <c r="B37" s="228" t="s">
        <v>159</v>
      </c>
      <c r="C37" s="229">
        <v>45112</v>
      </c>
      <c r="D37" s="230">
        <v>0.79166666666666663</v>
      </c>
      <c r="E37" s="231">
        <v>0.91666666666666663</v>
      </c>
      <c r="F37" s="161">
        <f t="shared" si="13"/>
        <v>0.125</v>
      </c>
      <c r="G37" s="137">
        <v>3</v>
      </c>
      <c r="H37" s="237">
        <f t="shared" si="14"/>
        <v>3</v>
      </c>
      <c r="I37" s="241">
        <f t="shared" ref="I37" si="15">H37</f>
        <v>3</v>
      </c>
      <c r="J37" s="137">
        <f t="shared" ref="J37" si="16">I37</f>
        <v>3</v>
      </c>
      <c r="K37" s="256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  <c r="BP37" s="234"/>
      <c r="BQ37" s="234"/>
      <c r="BR37" s="234"/>
      <c r="BS37" s="234"/>
      <c r="BT37" s="234"/>
      <c r="BU37" s="234"/>
      <c r="BV37" s="234"/>
    </row>
    <row r="38" spans="1:74" s="233" customFormat="1" ht="17.25" customHeight="1" x14ac:dyDescent="0.25">
      <c r="A38" s="227" t="s">
        <v>64</v>
      </c>
      <c r="B38" s="228" t="s">
        <v>126</v>
      </c>
      <c r="C38" s="229">
        <v>45113</v>
      </c>
      <c r="D38" s="230">
        <v>0.3125</v>
      </c>
      <c r="E38" s="231">
        <v>0.60416666666666663</v>
      </c>
      <c r="F38" s="161">
        <f t="shared" si="13"/>
        <v>0.29166666666666663</v>
      </c>
      <c r="G38" s="137">
        <v>7</v>
      </c>
      <c r="H38" s="237">
        <f t="shared" si="14"/>
        <v>7</v>
      </c>
      <c r="I38" s="241">
        <f t="shared" ref="I38:J38" si="17">H38</f>
        <v>7</v>
      </c>
      <c r="J38" s="137">
        <f t="shared" si="17"/>
        <v>7</v>
      </c>
      <c r="K38" s="256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/>
      <c r="BN38" s="234"/>
      <c r="BO38" s="234"/>
      <c r="BP38" s="234"/>
      <c r="BQ38" s="234"/>
      <c r="BR38" s="234"/>
      <c r="BS38" s="234"/>
      <c r="BT38" s="234"/>
      <c r="BU38" s="234"/>
      <c r="BV38" s="234"/>
    </row>
    <row r="39" spans="1:74" s="233" customFormat="1" ht="30.75" customHeight="1" x14ac:dyDescent="0.25">
      <c r="A39" s="227" t="s">
        <v>127</v>
      </c>
      <c r="B39" s="228" t="s">
        <v>128</v>
      </c>
      <c r="C39" s="229">
        <v>45114</v>
      </c>
      <c r="D39" s="230">
        <v>0.625</v>
      </c>
      <c r="E39" s="231">
        <v>0.95833333333333337</v>
      </c>
      <c r="F39" s="161">
        <f t="shared" si="13"/>
        <v>0.33333333333333337</v>
      </c>
      <c r="G39" s="137">
        <v>8</v>
      </c>
      <c r="H39" s="237">
        <f t="shared" si="14"/>
        <v>8</v>
      </c>
      <c r="I39" s="241">
        <f t="shared" ref="I39:J39" si="18">H39</f>
        <v>8</v>
      </c>
      <c r="J39" s="137">
        <f t="shared" si="18"/>
        <v>8</v>
      </c>
      <c r="K39" s="256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  <c r="BP39" s="234"/>
      <c r="BQ39" s="234"/>
      <c r="BR39" s="234"/>
      <c r="BS39" s="234"/>
      <c r="BT39" s="234"/>
      <c r="BU39" s="234"/>
      <c r="BV39" s="234"/>
    </row>
    <row r="40" spans="1:74" s="233" customFormat="1" ht="18" customHeight="1" x14ac:dyDescent="0.25">
      <c r="A40" s="227" t="s">
        <v>10</v>
      </c>
      <c r="B40" s="228" t="s">
        <v>129</v>
      </c>
      <c r="C40" s="229">
        <v>45115</v>
      </c>
      <c r="D40" s="230">
        <v>0.60416666666666663</v>
      </c>
      <c r="E40" s="231">
        <v>0.8125</v>
      </c>
      <c r="F40" s="161">
        <f t="shared" si="13"/>
        <v>0.20833333333333337</v>
      </c>
      <c r="G40" s="137">
        <v>5</v>
      </c>
      <c r="H40" s="237">
        <f t="shared" si="14"/>
        <v>5</v>
      </c>
      <c r="I40" s="241"/>
      <c r="J40" s="137"/>
      <c r="K40" s="256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  <c r="BP40" s="234"/>
      <c r="BQ40" s="234"/>
      <c r="BR40" s="234"/>
      <c r="BS40" s="234"/>
      <c r="BT40" s="234"/>
      <c r="BU40" s="234"/>
      <c r="BV40" s="234"/>
    </row>
    <row r="41" spans="1:74" s="233" customFormat="1" ht="17.25" customHeight="1" x14ac:dyDescent="0.25">
      <c r="A41" s="227" t="s">
        <v>67</v>
      </c>
      <c r="B41" s="228" t="s">
        <v>130</v>
      </c>
      <c r="C41" s="229">
        <v>45163</v>
      </c>
      <c r="D41" s="230">
        <v>0.66666666666666663</v>
      </c>
      <c r="E41" s="231">
        <v>0.83333333333333337</v>
      </c>
      <c r="F41" s="161">
        <f t="shared" si="13"/>
        <v>0.16666666666666674</v>
      </c>
      <c r="G41" s="137">
        <v>4</v>
      </c>
      <c r="H41" s="237">
        <f t="shared" si="14"/>
        <v>4</v>
      </c>
      <c r="I41" s="241"/>
      <c r="J41" s="137"/>
      <c r="K41" s="256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4"/>
      <c r="AT41" s="234"/>
      <c r="AU41" s="234"/>
      <c r="AV41" s="234"/>
      <c r="AW41" s="234"/>
      <c r="AX41" s="234"/>
      <c r="AY41" s="234"/>
      <c r="AZ41" s="234"/>
      <c r="BA41" s="234"/>
      <c r="BB41" s="234"/>
      <c r="BC41" s="234"/>
      <c r="BD41" s="234"/>
      <c r="BE41" s="234"/>
      <c r="BF41" s="234"/>
      <c r="BG41" s="234"/>
      <c r="BH41" s="234"/>
      <c r="BI41" s="234"/>
      <c r="BJ41" s="234"/>
      <c r="BK41" s="234"/>
      <c r="BL41" s="234"/>
      <c r="BM41" s="234"/>
      <c r="BN41" s="234"/>
      <c r="BO41" s="234"/>
      <c r="BP41" s="234"/>
      <c r="BQ41" s="234"/>
      <c r="BR41" s="234"/>
      <c r="BS41" s="234"/>
      <c r="BT41" s="234"/>
      <c r="BU41" s="234"/>
      <c r="BV41" s="234"/>
    </row>
    <row r="42" spans="1:74" s="233" customFormat="1" ht="17.25" customHeight="1" x14ac:dyDescent="0.25">
      <c r="A42" s="227" t="s">
        <v>67</v>
      </c>
      <c r="B42" s="228" t="s">
        <v>131</v>
      </c>
      <c r="C42" s="229">
        <v>45164</v>
      </c>
      <c r="D42" s="230">
        <v>0.35416666666666669</v>
      </c>
      <c r="E42" s="231">
        <v>0.625</v>
      </c>
      <c r="F42" s="161">
        <f t="shared" si="13"/>
        <v>0.27083333333333331</v>
      </c>
      <c r="G42" s="137">
        <v>6.5</v>
      </c>
      <c r="H42" s="237">
        <f t="shared" si="14"/>
        <v>6.5</v>
      </c>
      <c r="I42" s="241">
        <f t="shared" ref="I42:J42" si="19">H42</f>
        <v>6.5</v>
      </c>
      <c r="J42" s="137">
        <f t="shared" si="19"/>
        <v>6.5</v>
      </c>
      <c r="K42" s="256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  <c r="AZ42" s="234"/>
      <c r="BA42" s="234"/>
      <c r="BB42" s="234"/>
      <c r="BC42" s="234"/>
      <c r="BD42" s="234"/>
      <c r="BE42" s="234"/>
      <c r="BF42" s="234"/>
      <c r="BG42" s="234"/>
      <c r="BH42" s="234"/>
      <c r="BI42" s="234"/>
      <c r="BJ42" s="234"/>
      <c r="BK42" s="234"/>
      <c r="BL42" s="234"/>
      <c r="BM42" s="234"/>
      <c r="BN42" s="234"/>
      <c r="BO42" s="234"/>
      <c r="BP42" s="234"/>
      <c r="BQ42" s="234"/>
      <c r="BR42" s="234"/>
      <c r="BS42" s="234"/>
      <c r="BT42" s="234"/>
      <c r="BU42" s="234"/>
      <c r="BV42" s="234"/>
    </row>
    <row r="43" spans="1:74" s="233" customFormat="1" ht="15.75" customHeight="1" x14ac:dyDescent="0.25">
      <c r="A43" s="227" t="s">
        <v>132</v>
      </c>
      <c r="B43" s="228" t="s">
        <v>133</v>
      </c>
      <c r="C43" s="229">
        <v>45170</v>
      </c>
      <c r="D43" s="230">
        <v>0.625</v>
      </c>
      <c r="E43" s="231">
        <v>0.875</v>
      </c>
      <c r="F43" s="161">
        <f t="shared" si="13"/>
        <v>0.25</v>
      </c>
      <c r="G43" s="137">
        <v>6</v>
      </c>
      <c r="H43" s="238"/>
      <c r="I43" s="241">
        <f>G43</f>
        <v>6</v>
      </c>
      <c r="J43" s="137">
        <f>G43</f>
        <v>6</v>
      </c>
      <c r="K43" s="256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4"/>
      <c r="AT43" s="234"/>
      <c r="AU43" s="234"/>
      <c r="AV43" s="234"/>
      <c r="AW43" s="234"/>
      <c r="AX43" s="234"/>
      <c r="AY43" s="234"/>
      <c r="AZ43" s="234"/>
      <c r="BA43" s="234"/>
      <c r="BB43" s="234"/>
      <c r="BC43" s="234"/>
      <c r="BD43" s="234"/>
      <c r="BE43" s="234"/>
      <c r="BF43" s="234"/>
      <c r="BG43" s="234"/>
      <c r="BH43" s="234"/>
      <c r="BI43" s="234"/>
      <c r="BJ43" s="234"/>
      <c r="BK43" s="234"/>
      <c r="BL43" s="234"/>
      <c r="BM43" s="234"/>
      <c r="BN43" s="234"/>
      <c r="BO43" s="234"/>
      <c r="BP43" s="234"/>
      <c r="BQ43" s="234"/>
      <c r="BR43" s="234"/>
      <c r="BS43" s="234"/>
      <c r="BT43" s="234"/>
      <c r="BU43" s="234"/>
      <c r="BV43" s="234"/>
    </row>
    <row r="44" spans="1:74" s="233" customFormat="1" ht="15.75" customHeight="1" x14ac:dyDescent="0.25">
      <c r="A44" s="227" t="s">
        <v>10</v>
      </c>
      <c r="B44" s="228" t="s">
        <v>134</v>
      </c>
      <c r="C44" s="229">
        <v>45179</v>
      </c>
      <c r="D44" s="230">
        <v>0.60416666666666663</v>
      </c>
      <c r="E44" s="231">
        <v>0.8125</v>
      </c>
      <c r="F44" s="161">
        <f t="shared" si="13"/>
        <v>0.20833333333333337</v>
      </c>
      <c r="G44" s="137">
        <v>5</v>
      </c>
      <c r="H44" s="237">
        <f t="shared" ref="H44:J70" si="20">G44</f>
        <v>5</v>
      </c>
      <c r="I44" s="241"/>
      <c r="J44" s="137"/>
      <c r="K44" s="256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234"/>
      <c r="BR44" s="234"/>
      <c r="BS44" s="234"/>
      <c r="BT44" s="234"/>
      <c r="BU44" s="234"/>
      <c r="BV44" s="234"/>
    </row>
    <row r="45" spans="1:74" s="233" customFormat="1" ht="16.5" customHeight="1" x14ac:dyDescent="0.25">
      <c r="A45" s="227" t="s">
        <v>135</v>
      </c>
      <c r="B45" s="228" t="s">
        <v>136</v>
      </c>
      <c r="C45" s="229">
        <v>45183</v>
      </c>
      <c r="D45" s="230">
        <v>0.625</v>
      </c>
      <c r="E45" s="231">
        <v>0.875</v>
      </c>
      <c r="F45" s="161">
        <f t="shared" si="13"/>
        <v>0.25</v>
      </c>
      <c r="G45" s="137">
        <v>6</v>
      </c>
      <c r="H45" s="237">
        <f t="shared" si="20"/>
        <v>6</v>
      </c>
      <c r="I45" s="241"/>
      <c r="J45" s="137"/>
      <c r="K45" s="256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4"/>
      <c r="BM45" s="234"/>
      <c r="BN45" s="234"/>
      <c r="BO45" s="234"/>
      <c r="BP45" s="234"/>
      <c r="BQ45" s="234"/>
      <c r="BR45" s="234"/>
      <c r="BS45" s="234"/>
      <c r="BT45" s="234"/>
      <c r="BU45" s="234"/>
      <c r="BV45" s="234"/>
    </row>
    <row r="46" spans="1:74" s="233" customFormat="1" ht="16.5" customHeight="1" x14ac:dyDescent="0.25">
      <c r="A46" s="227" t="s">
        <v>137</v>
      </c>
      <c r="B46" s="228" t="s">
        <v>138</v>
      </c>
      <c r="C46" s="229">
        <v>45188</v>
      </c>
      <c r="D46" s="230">
        <v>0.33333333333333331</v>
      </c>
      <c r="E46" s="231">
        <v>0.83333333333333337</v>
      </c>
      <c r="F46" s="161">
        <f t="shared" si="13"/>
        <v>0.5</v>
      </c>
      <c r="G46" s="137">
        <v>12</v>
      </c>
      <c r="H46" s="237">
        <f t="shared" si="20"/>
        <v>12</v>
      </c>
      <c r="I46" s="241">
        <f t="shared" ref="I46:J46" si="21">H46</f>
        <v>12</v>
      </c>
      <c r="J46" s="137">
        <f t="shared" si="21"/>
        <v>12</v>
      </c>
      <c r="K46" s="256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  <c r="BP46" s="234"/>
      <c r="BQ46" s="234"/>
      <c r="BR46" s="234"/>
      <c r="BS46" s="234"/>
      <c r="BT46" s="234"/>
      <c r="BU46" s="234"/>
      <c r="BV46" s="234"/>
    </row>
    <row r="47" spans="1:74" s="233" customFormat="1" ht="15" customHeight="1" x14ac:dyDescent="0.25">
      <c r="A47" s="227" t="s">
        <v>137</v>
      </c>
      <c r="B47" s="228" t="s">
        <v>138</v>
      </c>
      <c r="C47" s="229">
        <v>45189</v>
      </c>
      <c r="D47" s="230">
        <v>0.29166666666666669</v>
      </c>
      <c r="E47" s="231">
        <v>1</v>
      </c>
      <c r="F47" s="161">
        <f t="shared" si="13"/>
        <v>0.70833333333333326</v>
      </c>
      <c r="G47" s="137">
        <v>17</v>
      </c>
      <c r="H47" s="237">
        <f t="shared" si="20"/>
        <v>17</v>
      </c>
      <c r="I47" s="241">
        <f t="shared" ref="I47:J47" si="22">H47</f>
        <v>17</v>
      </c>
      <c r="J47" s="137">
        <f t="shared" si="22"/>
        <v>17</v>
      </c>
      <c r="K47" s="256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  <c r="BP47" s="234"/>
      <c r="BQ47" s="234"/>
      <c r="BR47" s="234"/>
      <c r="BS47" s="234"/>
      <c r="BT47" s="234"/>
      <c r="BU47" s="234"/>
      <c r="BV47" s="234"/>
    </row>
    <row r="48" spans="1:74" s="233" customFormat="1" ht="18" customHeight="1" x14ac:dyDescent="0.25">
      <c r="A48" s="227" t="s">
        <v>137</v>
      </c>
      <c r="B48" s="228" t="s">
        <v>138</v>
      </c>
      <c r="C48" s="229">
        <v>45191</v>
      </c>
      <c r="D48" s="230">
        <v>0.29166666666666669</v>
      </c>
      <c r="E48" s="231">
        <v>0.5</v>
      </c>
      <c r="F48" s="161">
        <f t="shared" si="13"/>
        <v>0.20833333333333331</v>
      </c>
      <c r="G48" s="137">
        <v>5</v>
      </c>
      <c r="H48" s="237">
        <f t="shared" si="20"/>
        <v>5</v>
      </c>
      <c r="I48" s="241">
        <f t="shared" ref="I48:J48" si="23">H48</f>
        <v>5</v>
      </c>
      <c r="J48" s="137">
        <f t="shared" si="23"/>
        <v>5</v>
      </c>
      <c r="K48" s="256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  <c r="BP48" s="234"/>
      <c r="BQ48" s="234"/>
      <c r="BR48" s="234"/>
      <c r="BS48" s="234"/>
      <c r="BT48" s="234"/>
      <c r="BU48" s="234"/>
      <c r="BV48" s="234"/>
    </row>
    <row r="49" spans="1:74" s="233" customFormat="1" ht="15.75" customHeight="1" x14ac:dyDescent="0.25">
      <c r="A49" s="227" t="s">
        <v>139</v>
      </c>
      <c r="B49" s="228" t="s">
        <v>22</v>
      </c>
      <c r="C49" s="229">
        <v>45198</v>
      </c>
      <c r="D49" s="230">
        <v>0.625</v>
      </c>
      <c r="E49" s="231">
        <v>0.97916666666666663</v>
      </c>
      <c r="F49" s="161">
        <f t="shared" si="13"/>
        <v>0.35416666666666663</v>
      </c>
      <c r="G49" s="137">
        <v>8.5</v>
      </c>
      <c r="H49" s="237">
        <f t="shared" si="20"/>
        <v>8.5</v>
      </c>
      <c r="I49" s="241"/>
      <c r="J49" s="137">
        <f>G49</f>
        <v>8.5</v>
      </c>
      <c r="K49" s="256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  <c r="BP49" s="234"/>
      <c r="BQ49" s="234"/>
      <c r="BR49" s="234"/>
      <c r="BS49" s="234"/>
      <c r="BT49" s="234"/>
      <c r="BU49" s="234"/>
      <c r="BV49" s="234"/>
    </row>
    <row r="50" spans="1:74" s="233" customFormat="1" ht="15" customHeight="1" x14ac:dyDescent="0.25">
      <c r="A50" s="98" t="s">
        <v>52</v>
      </c>
      <c r="B50" s="228" t="s">
        <v>22</v>
      </c>
      <c r="C50" s="229">
        <v>45200</v>
      </c>
      <c r="D50" s="230">
        <v>0.6875</v>
      </c>
      <c r="E50" s="231">
        <v>0.91666666666666663</v>
      </c>
      <c r="F50" s="161">
        <f t="shared" si="13"/>
        <v>0.22916666666666663</v>
      </c>
      <c r="G50" s="137">
        <v>5.5</v>
      </c>
      <c r="H50" s="237">
        <f t="shared" si="20"/>
        <v>5.5</v>
      </c>
      <c r="I50" s="241"/>
      <c r="J50" s="137"/>
      <c r="K50" s="256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  <c r="BP50" s="234"/>
      <c r="BQ50" s="234"/>
      <c r="BR50" s="234"/>
      <c r="BS50" s="234"/>
      <c r="BT50" s="234"/>
      <c r="BU50" s="234"/>
      <c r="BV50" s="234"/>
    </row>
    <row r="51" spans="1:74" s="233" customFormat="1" ht="15" customHeight="1" x14ac:dyDescent="0.25">
      <c r="A51" s="98" t="s">
        <v>25</v>
      </c>
      <c r="B51" s="228" t="s">
        <v>140</v>
      </c>
      <c r="C51" s="229">
        <v>45206</v>
      </c>
      <c r="D51" s="230">
        <v>0.5625</v>
      </c>
      <c r="E51" s="231">
        <v>0.97916666666666663</v>
      </c>
      <c r="F51" s="161">
        <f t="shared" si="13"/>
        <v>0.41666666666666663</v>
      </c>
      <c r="G51" s="137">
        <v>10</v>
      </c>
      <c r="H51" s="237">
        <f t="shared" si="20"/>
        <v>10</v>
      </c>
      <c r="I51" s="232"/>
      <c r="J51" s="235"/>
      <c r="K51" s="256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  <c r="BP51" s="234"/>
      <c r="BQ51" s="234"/>
      <c r="BR51" s="234"/>
      <c r="BS51" s="234"/>
      <c r="BT51" s="234"/>
      <c r="BU51" s="234"/>
      <c r="BV51" s="234"/>
    </row>
    <row r="52" spans="1:74" s="233" customFormat="1" ht="15" customHeight="1" x14ac:dyDescent="0.25">
      <c r="A52" s="98" t="s">
        <v>111</v>
      </c>
      <c r="B52" s="228" t="s">
        <v>98</v>
      </c>
      <c r="C52" s="229">
        <v>45209</v>
      </c>
      <c r="D52" s="230">
        <v>0.58333333333333337</v>
      </c>
      <c r="E52" s="231">
        <v>0.95833333333333337</v>
      </c>
      <c r="F52" s="161">
        <f t="shared" si="13"/>
        <v>0.375</v>
      </c>
      <c r="G52" s="137">
        <v>9</v>
      </c>
      <c r="H52" s="237"/>
      <c r="I52" s="232">
        <f>G52</f>
        <v>9</v>
      </c>
      <c r="J52" s="235"/>
      <c r="K52" s="256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  <c r="BP52" s="234"/>
      <c r="BQ52" s="234"/>
      <c r="BR52" s="234"/>
      <c r="BS52" s="234"/>
      <c r="BT52" s="234"/>
      <c r="BU52" s="234"/>
      <c r="BV52" s="234"/>
    </row>
    <row r="53" spans="1:74" s="233" customFormat="1" ht="15" customHeight="1" x14ac:dyDescent="0.25">
      <c r="A53" s="98" t="s">
        <v>139</v>
      </c>
      <c r="B53" s="228" t="s">
        <v>22</v>
      </c>
      <c r="C53" s="229">
        <v>45212</v>
      </c>
      <c r="D53" s="230">
        <v>0.625</v>
      </c>
      <c r="E53" s="231">
        <v>0.97916666666666663</v>
      </c>
      <c r="F53" s="161">
        <f t="shared" si="13"/>
        <v>0.35416666666666663</v>
      </c>
      <c r="G53" s="137">
        <v>8.5</v>
      </c>
      <c r="H53" s="237">
        <f t="shared" si="20"/>
        <v>8.5</v>
      </c>
      <c r="I53" s="232"/>
      <c r="J53" s="235">
        <f>G53</f>
        <v>8.5</v>
      </c>
      <c r="K53" s="256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  <c r="BM53" s="234"/>
      <c r="BN53" s="234"/>
      <c r="BO53" s="234"/>
      <c r="BP53" s="234"/>
      <c r="BQ53" s="234"/>
      <c r="BR53" s="234"/>
      <c r="BS53" s="234"/>
      <c r="BT53" s="234"/>
      <c r="BU53" s="234"/>
      <c r="BV53" s="234"/>
    </row>
    <row r="54" spans="1:74" s="233" customFormat="1" ht="15" customHeight="1" x14ac:dyDescent="0.25">
      <c r="A54" s="98" t="s">
        <v>111</v>
      </c>
      <c r="B54" s="228" t="s">
        <v>160</v>
      </c>
      <c r="C54" s="229">
        <v>45218</v>
      </c>
      <c r="D54" s="230">
        <v>0.33333333333333331</v>
      </c>
      <c r="E54" s="231">
        <v>0.41666666666666669</v>
      </c>
      <c r="F54" s="161">
        <f t="shared" si="13"/>
        <v>8.333333333333337E-2</v>
      </c>
      <c r="G54" s="137">
        <v>2</v>
      </c>
      <c r="H54" s="237">
        <f>G54</f>
        <v>2</v>
      </c>
      <c r="I54" s="241">
        <f t="shared" ref="I54:I55" si="24">H54</f>
        <v>2</v>
      </c>
      <c r="J54" s="232">
        <f t="shared" ref="J54:J55" si="25">I54</f>
        <v>2</v>
      </c>
      <c r="K54" s="256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4"/>
      <c r="BM54" s="234"/>
      <c r="BN54" s="234"/>
      <c r="BO54" s="234"/>
      <c r="BP54" s="234"/>
      <c r="BQ54" s="234"/>
      <c r="BR54" s="234"/>
      <c r="BS54" s="234"/>
      <c r="BT54" s="234"/>
      <c r="BU54" s="234"/>
      <c r="BV54" s="234"/>
    </row>
    <row r="55" spans="1:74" s="233" customFormat="1" ht="15" customHeight="1" x14ac:dyDescent="0.25">
      <c r="A55" s="98" t="s">
        <v>111</v>
      </c>
      <c r="B55" s="228" t="s">
        <v>160</v>
      </c>
      <c r="C55" s="229">
        <v>45218</v>
      </c>
      <c r="D55" s="230">
        <v>0.64583333333333337</v>
      </c>
      <c r="E55" s="231">
        <v>0.75</v>
      </c>
      <c r="F55" s="161">
        <f t="shared" si="13"/>
        <v>0.10416666666666663</v>
      </c>
      <c r="G55" s="137">
        <v>2.5</v>
      </c>
      <c r="H55" s="237">
        <f>G55</f>
        <v>2.5</v>
      </c>
      <c r="I55" s="241">
        <f t="shared" si="24"/>
        <v>2.5</v>
      </c>
      <c r="J55" s="232">
        <f t="shared" si="25"/>
        <v>2.5</v>
      </c>
      <c r="K55" s="256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  <c r="BP55" s="234"/>
      <c r="BQ55" s="234"/>
      <c r="BR55" s="234"/>
      <c r="BS55" s="234"/>
      <c r="BT55" s="234"/>
      <c r="BU55" s="234"/>
      <c r="BV55" s="234"/>
    </row>
    <row r="56" spans="1:74" s="233" customFormat="1" ht="15" customHeight="1" x14ac:dyDescent="0.25">
      <c r="A56" s="98" t="s">
        <v>111</v>
      </c>
      <c r="B56" s="228" t="s">
        <v>68</v>
      </c>
      <c r="C56" s="229">
        <v>45223</v>
      </c>
      <c r="D56" s="230">
        <v>0.375</v>
      </c>
      <c r="E56" s="231">
        <v>0.97916666666666663</v>
      </c>
      <c r="F56" s="161">
        <f t="shared" si="13"/>
        <v>0.60416666666666663</v>
      </c>
      <c r="G56" s="137">
        <v>14.5</v>
      </c>
      <c r="H56" s="237"/>
      <c r="I56" s="232">
        <f>G56</f>
        <v>14.5</v>
      </c>
      <c r="J56" s="257"/>
      <c r="K56" s="256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4"/>
      <c r="BM56" s="234"/>
      <c r="BN56" s="234"/>
      <c r="BO56" s="234"/>
      <c r="BP56" s="234"/>
      <c r="BQ56" s="234"/>
      <c r="BR56" s="234"/>
      <c r="BS56" s="234"/>
      <c r="BT56" s="234"/>
      <c r="BU56" s="234"/>
      <c r="BV56" s="234"/>
    </row>
    <row r="57" spans="1:74" s="233" customFormat="1" ht="15" customHeight="1" x14ac:dyDescent="0.25">
      <c r="A57" s="98" t="s">
        <v>111</v>
      </c>
      <c r="B57" s="228" t="s">
        <v>161</v>
      </c>
      <c r="C57" s="229">
        <v>45224</v>
      </c>
      <c r="D57" s="230">
        <v>0.375</v>
      </c>
      <c r="E57" s="231">
        <v>0.625</v>
      </c>
      <c r="F57" s="161">
        <f t="shared" si="13"/>
        <v>0.25</v>
      </c>
      <c r="G57" s="137">
        <v>6</v>
      </c>
      <c r="H57" s="237">
        <f>G57</f>
        <v>6</v>
      </c>
      <c r="I57" s="232"/>
      <c r="J57" s="257"/>
      <c r="K57" s="256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  <c r="BP57" s="234"/>
      <c r="BQ57" s="234"/>
      <c r="BR57" s="234"/>
      <c r="BS57" s="234"/>
      <c r="BT57" s="234"/>
      <c r="BU57" s="234"/>
      <c r="BV57" s="234"/>
    </row>
    <row r="58" spans="1:74" s="233" customFormat="1" ht="15" customHeight="1" x14ac:dyDescent="0.25">
      <c r="A58" s="98" t="s">
        <v>141</v>
      </c>
      <c r="B58" s="228" t="s">
        <v>22</v>
      </c>
      <c r="C58" s="229">
        <v>45226</v>
      </c>
      <c r="D58" s="230">
        <v>0.66666666666666663</v>
      </c>
      <c r="E58" s="231">
        <v>0.91666666666666663</v>
      </c>
      <c r="F58" s="161">
        <f t="shared" si="13"/>
        <v>0.25</v>
      </c>
      <c r="G58" s="137">
        <v>6</v>
      </c>
      <c r="H58" s="237">
        <f t="shared" si="20"/>
        <v>6</v>
      </c>
      <c r="I58" s="232"/>
      <c r="J58" s="235"/>
      <c r="K58" s="256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  <c r="BP58" s="234"/>
      <c r="BQ58" s="234"/>
      <c r="BR58" s="234"/>
      <c r="BS58" s="234"/>
      <c r="BT58" s="234"/>
      <c r="BU58" s="234"/>
      <c r="BV58" s="234"/>
    </row>
    <row r="59" spans="1:74" s="233" customFormat="1" ht="15" customHeight="1" x14ac:dyDescent="0.25">
      <c r="A59" s="98" t="s">
        <v>141</v>
      </c>
      <c r="B59" s="228" t="s">
        <v>22</v>
      </c>
      <c r="C59" s="229">
        <v>45227</v>
      </c>
      <c r="D59" s="230">
        <v>0.66666666666666663</v>
      </c>
      <c r="E59" s="231">
        <v>0.91666666666666663</v>
      </c>
      <c r="F59" s="161">
        <f t="shared" si="13"/>
        <v>0.25</v>
      </c>
      <c r="G59" s="137">
        <v>6</v>
      </c>
      <c r="H59" s="237">
        <f t="shared" si="20"/>
        <v>6</v>
      </c>
      <c r="I59" s="232"/>
      <c r="J59" s="235"/>
      <c r="K59" s="256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  <c r="BE59" s="234"/>
      <c r="BF59" s="234"/>
      <c r="BG59" s="234"/>
      <c r="BH59" s="234"/>
      <c r="BI59" s="234"/>
      <c r="BJ59" s="234"/>
      <c r="BK59" s="234"/>
      <c r="BL59" s="234"/>
      <c r="BM59" s="234"/>
      <c r="BN59" s="234"/>
      <c r="BO59" s="234"/>
      <c r="BP59" s="234"/>
      <c r="BQ59" s="234"/>
      <c r="BR59" s="234"/>
      <c r="BS59" s="234"/>
      <c r="BT59" s="234"/>
      <c r="BU59" s="234"/>
      <c r="BV59" s="234"/>
    </row>
    <row r="60" spans="1:74" s="233" customFormat="1" ht="15" customHeight="1" x14ac:dyDescent="0.25">
      <c r="A60" s="98" t="s">
        <v>139</v>
      </c>
      <c r="B60" s="228" t="s">
        <v>22</v>
      </c>
      <c r="C60" s="229">
        <v>45234</v>
      </c>
      <c r="D60" s="230">
        <v>0.625</v>
      </c>
      <c r="E60" s="231">
        <v>0.97916666666666663</v>
      </c>
      <c r="F60" s="161">
        <f t="shared" si="13"/>
        <v>0.35416666666666663</v>
      </c>
      <c r="G60" s="137">
        <v>8.5</v>
      </c>
      <c r="H60" s="237">
        <f t="shared" si="20"/>
        <v>8.5</v>
      </c>
      <c r="I60" s="232"/>
      <c r="J60" s="235">
        <f>G60</f>
        <v>8.5</v>
      </c>
      <c r="K60" s="256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  <c r="BP60" s="234"/>
      <c r="BQ60" s="234"/>
      <c r="BR60" s="234"/>
      <c r="BS60" s="234"/>
      <c r="BT60" s="234"/>
      <c r="BU60" s="234"/>
      <c r="BV60" s="234"/>
    </row>
    <row r="61" spans="1:74" s="233" customFormat="1" ht="15" customHeight="1" x14ac:dyDescent="0.25">
      <c r="A61" s="98" t="s">
        <v>141</v>
      </c>
      <c r="B61" s="228" t="s">
        <v>22</v>
      </c>
      <c r="C61" s="229">
        <v>45240</v>
      </c>
      <c r="D61" s="230">
        <v>0.66666666666666663</v>
      </c>
      <c r="E61" s="231">
        <v>0.91666666666666663</v>
      </c>
      <c r="F61" s="161">
        <f t="shared" si="13"/>
        <v>0.25</v>
      </c>
      <c r="G61" s="137">
        <v>6</v>
      </c>
      <c r="H61" s="237">
        <f t="shared" si="20"/>
        <v>6</v>
      </c>
      <c r="I61" s="232"/>
      <c r="J61" s="235"/>
      <c r="K61" s="256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4"/>
      <c r="BM61" s="234"/>
      <c r="BN61" s="234"/>
      <c r="BO61" s="234"/>
      <c r="BP61" s="234"/>
      <c r="BQ61" s="234"/>
      <c r="BR61" s="234"/>
      <c r="BS61" s="234"/>
      <c r="BT61" s="234"/>
      <c r="BU61" s="234"/>
      <c r="BV61" s="234"/>
    </row>
    <row r="62" spans="1:74" s="233" customFormat="1" ht="15" customHeight="1" x14ac:dyDescent="0.25">
      <c r="A62" s="98" t="s">
        <v>141</v>
      </c>
      <c r="B62" s="228" t="s">
        <v>22</v>
      </c>
      <c r="C62" s="229">
        <v>45241</v>
      </c>
      <c r="D62" s="230">
        <v>0.66666666666666663</v>
      </c>
      <c r="E62" s="231">
        <v>0.91666666666666663</v>
      </c>
      <c r="F62" s="161">
        <f t="shared" si="13"/>
        <v>0.25</v>
      </c>
      <c r="G62" s="137">
        <v>6</v>
      </c>
      <c r="H62" s="237">
        <f t="shared" si="20"/>
        <v>6</v>
      </c>
      <c r="I62" s="232"/>
      <c r="J62" s="235"/>
      <c r="K62" s="256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34"/>
      <c r="AO62" s="234"/>
      <c r="AP62" s="234"/>
      <c r="AQ62" s="234"/>
      <c r="AR62" s="234"/>
      <c r="AS62" s="234"/>
      <c r="AT62" s="234"/>
      <c r="AU62" s="234"/>
      <c r="AV62" s="234"/>
      <c r="AW62" s="234"/>
      <c r="AX62" s="234"/>
      <c r="AY62" s="234"/>
      <c r="AZ62" s="234"/>
      <c r="BA62" s="234"/>
      <c r="BB62" s="234"/>
      <c r="BC62" s="234"/>
      <c r="BD62" s="234"/>
      <c r="BE62" s="234"/>
      <c r="BF62" s="234"/>
      <c r="BG62" s="234"/>
      <c r="BH62" s="234"/>
      <c r="BI62" s="234"/>
      <c r="BJ62" s="234"/>
      <c r="BK62" s="234"/>
      <c r="BL62" s="234"/>
      <c r="BM62" s="234"/>
      <c r="BN62" s="234"/>
      <c r="BO62" s="234"/>
      <c r="BP62" s="234"/>
      <c r="BQ62" s="234"/>
      <c r="BR62" s="234"/>
      <c r="BS62" s="234"/>
      <c r="BT62" s="234"/>
      <c r="BU62" s="234"/>
      <c r="BV62" s="234"/>
    </row>
    <row r="63" spans="1:74" s="233" customFormat="1" ht="15" customHeight="1" x14ac:dyDescent="0.25">
      <c r="A63" s="165" t="s">
        <v>142</v>
      </c>
      <c r="B63" s="228" t="s">
        <v>143</v>
      </c>
      <c r="C63" s="229">
        <v>45243</v>
      </c>
      <c r="D63" s="230">
        <v>0.66666666666666663</v>
      </c>
      <c r="E63" s="231">
        <v>0.83333333333333337</v>
      </c>
      <c r="F63" s="161">
        <f t="shared" si="13"/>
        <v>0.16666666666666674</v>
      </c>
      <c r="G63" s="137">
        <v>4</v>
      </c>
      <c r="H63" s="237">
        <f t="shared" si="20"/>
        <v>4</v>
      </c>
      <c r="I63" s="232"/>
      <c r="J63" s="235"/>
      <c r="K63" s="256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34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  <c r="BI63" s="234"/>
      <c r="BJ63" s="234"/>
      <c r="BK63" s="234"/>
      <c r="BL63" s="234"/>
      <c r="BM63" s="234"/>
      <c r="BN63" s="234"/>
      <c r="BO63" s="234"/>
      <c r="BP63" s="234"/>
      <c r="BQ63" s="234"/>
      <c r="BR63" s="234"/>
      <c r="BS63" s="234"/>
      <c r="BT63" s="234"/>
      <c r="BU63" s="234"/>
      <c r="BV63" s="234"/>
    </row>
    <row r="64" spans="1:74" s="233" customFormat="1" ht="15" customHeight="1" x14ac:dyDescent="0.25">
      <c r="A64" s="165" t="s">
        <v>142</v>
      </c>
      <c r="B64" s="228" t="s">
        <v>143</v>
      </c>
      <c r="C64" s="229">
        <v>45244</v>
      </c>
      <c r="D64" s="230">
        <v>0.3125</v>
      </c>
      <c r="E64" s="231">
        <v>0.91666666666666663</v>
      </c>
      <c r="F64" s="161">
        <f t="shared" si="13"/>
        <v>0.60416666666666663</v>
      </c>
      <c r="G64" s="137">
        <v>14.5</v>
      </c>
      <c r="H64" s="237">
        <f t="shared" si="20"/>
        <v>14.5</v>
      </c>
      <c r="I64" s="232">
        <f t="shared" si="20"/>
        <v>14.5</v>
      </c>
      <c r="J64" s="235">
        <f t="shared" si="20"/>
        <v>14.5</v>
      </c>
      <c r="K64" s="256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/>
      <c r="AP64" s="234"/>
      <c r="AQ64" s="234"/>
      <c r="AR64" s="234"/>
      <c r="AS64" s="234"/>
      <c r="AT64" s="234"/>
      <c r="AU64" s="234"/>
      <c r="AV64" s="234"/>
      <c r="AW64" s="234"/>
      <c r="AX64" s="234"/>
      <c r="AY64" s="234"/>
      <c r="AZ64" s="234"/>
      <c r="BA64" s="234"/>
      <c r="BB64" s="234"/>
      <c r="BC64" s="234"/>
      <c r="BD64" s="234"/>
      <c r="BE64" s="234"/>
      <c r="BF64" s="234"/>
      <c r="BG64" s="234"/>
      <c r="BH64" s="234"/>
      <c r="BI64" s="234"/>
      <c r="BJ64" s="234"/>
      <c r="BK64" s="234"/>
      <c r="BL64" s="234"/>
      <c r="BM64" s="234"/>
      <c r="BN64" s="234"/>
      <c r="BO64" s="234"/>
      <c r="BP64" s="234"/>
      <c r="BQ64" s="234"/>
      <c r="BR64" s="234"/>
      <c r="BS64" s="234"/>
      <c r="BT64" s="234"/>
      <c r="BU64" s="234"/>
      <c r="BV64" s="234"/>
    </row>
    <row r="65" spans="1:74" s="233" customFormat="1" ht="15" customHeight="1" x14ac:dyDescent="0.25">
      <c r="A65" s="165" t="s">
        <v>144</v>
      </c>
      <c r="B65" s="228" t="s">
        <v>145</v>
      </c>
      <c r="C65" s="229">
        <v>45245</v>
      </c>
      <c r="D65" s="230">
        <v>0.64583333333333337</v>
      </c>
      <c r="E65" s="231">
        <v>0.89583333333333337</v>
      </c>
      <c r="F65" s="161">
        <f t="shared" si="13"/>
        <v>0.25</v>
      </c>
      <c r="G65" s="137">
        <v>6</v>
      </c>
      <c r="H65" s="237">
        <f t="shared" si="20"/>
        <v>6</v>
      </c>
      <c r="I65" s="232">
        <f t="shared" si="20"/>
        <v>6</v>
      </c>
      <c r="J65" s="235"/>
      <c r="K65" s="256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34"/>
      <c r="BV65" s="234"/>
    </row>
    <row r="66" spans="1:74" s="233" customFormat="1" ht="15" customHeight="1" x14ac:dyDescent="0.25">
      <c r="A66" s="165" t="s">
        <v>10</v>
      </c>
      <c r="B66" s="228" t="s">
        <v>146</v>
      </c>
      <c r="C66" s="229">
        <v>45248</v>
      </c>
      <c r="D66" s="230">
        <v>0.60416666666666663</v>
      </c>
      <c r="E66" s="231">
        <v>0.8125</v>
      </c>
      <c r="F66" s="161">
        <f t="shared" si="13"/>
        <v>0.20833333333333337</v>
      </c>
      <c r="G66" s="137">
        <v>5</v>
      </c>
      <c r="H66" s="237">
        <f t="shared" si="20"/>
        <v>5</v>
      </c>
      <c r="I66" s="232"/>
      <c r="J66" s="235"/>
      <c r="K66" s="256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4"/>
      <c r="BM66" s="234"/>
      <c r="BN66" s="234"/>
      <c r="BO66" s="234"/>
      <c r="BP66" s="234"/>
      <c r="BQ66" s="234"/>
      <c r="BR66" s="234"/>
      <c r="BS66" s="234"/>
      <c r="BT66" s="234"/>
      <c r="BU66" s="234"/>
      <c r="BV66" s="234"/>
    </row>
    <row r="67" spans="1:74" s="233" customFormat="1" ht="15" customHeight="1" x14ac:dyDescent="0.25">
      <c r="A67" s="165" t="s">
        <v>147</v>
      </c>
      <c r="B67" s="228" t="s">
        <v>148</v>
      </c>
      <c r="C67" s="229">
        <v>45251</v>
      </c>
      <c r="D67" s="230">
        <v>0.6875</v>
      </c>
      <c r="E67" s="231">
        <v>1</v>
      </c>
      <c r="F67" s="161">
        <f t="shared" si="13"/>
        <v>0.3125</v>
      </c>
      <c r="G67" s="137">
        <v>7.5</v>
      </c>
      <c r="H67" s="237">
        <f t="shared" si="20"/>
        <v>7.5</v>
      </c>
      <c r="I67" s="232"/>
      <c r="J67" s="235">
        <f>G67</f>
        <v>7.5</v>
      </c>
      <c r="K67" s="256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  <c r="BP67" s="234"/>
      <c r="BQ67" s="234"/>
      <c r="BR67" s="234"/>
      <c r="BS67" s="234"/>
      <c r="BT67" s="234"/>
      <c r="BU67" s="234"/>
      <c r="BV67" s="234"/>
    </row>
    <row r="68" spans="1:74" s="233" customFormat="1" ht="15" customHeight="1" x14ac:dyDescent="0.25">
      <c r="A68" s="165" t="s">
        <v>150</v>
      </c>
      <c r="B68" s="228" t="s">
        <v>149</v>
      </c>
      <c r="C68" s="229">
        <v>45253</v>
      </c>
      <c r="D68" s="230">
        <v>0.33333333333333331</v>
      </c>
      <c r="E68" s="231">
        <v>0.83333333333333337</v>
      </c>
      <c r="F68" s="161">
        <f t="shared" si="13"/>
        <v>0.5</v>
      </c>
      <c r="G68" s="137">
        <v>12</v>
      </c>
      <c r="H68" s="237">
        <f t="shared" si="20"/>
        <v>12</v>
      </c>
      <c r="I68" s="232">
        <f t="shared" si="20"/>
        <v>12</v>
      </c>
      <c r="J68" s="235">
        <f t="shared" si="20"/>
        <v>12</v>
      </c>
      <c r="K68" s="256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  <c r="BP68" s="234"/>
      <c r="BQ68" s="234"/>
      <c r="BR68" s="234"/>
      <c r="BS68" s="234"/>
      <c r="BT68" s="234"/>
      <c r="BU68" s="234"/>
      <c r="BV68" s="234"/>
    </row>
    <row r="69" spans="1:74" s="233" customFormat="1" ht="15" customHeight="1" x14ac:dyDescent="0.25">
      <c r="A69" s="98" t="s">
        <v>141</v>
      </c>
      <c r="B69" s="228" t="s">
        <v>22</v>
      </c>
      <c r="C69" s="229">
        <v>45254</v>
      </c>
      <c r="D69" s="230">
        <v>0.66666666666666663</v>
      </c>
      <c r="E69" s="244">
        <v>0.91666666666666663</v>
      </c>
      <c r="F69" s="161">
        <f t="shared" si="13"/>
        <v>0.25</v>
      </c>
      <c r="G69" s="137">
        <v>6</v>
      </c>
      <c r="H69" s="237">
        <f t="shared" si="20"/>
        <v>6</v>
      </c>
      <c r="I69" s="232"/>
      <c r="J69" s="235"/>
      <c r="K69" s="256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  <c r="BP69" s="234"/>
      <c r="BQ69" s="234"/>
      <c r="BR69" s="234"/>
      <c r="BS69" s="234"/>
      <c r="BT69" s="234"/>
      <c r="BU69" s="234"/>
      <c r="BV69" s="234"/>
    </row>
    <row r="70" spans="1:74" s="233" customFormat="1" ht="15" customHeight="1" x14ac:dyDescent="0.25">
      <c r="A70" s="98" t="s">
        <v>141</v>
      </c>
      <c r="B70" s="228" t="s">
        <v>22</v>
      </c>
      <c r="C70" s="229">
        <v>45255</v>
      </c>
      <c r="D70" s="230">
        <v>0.5</v>
      </c>
      <c r="E70" s="247">
        <v>0.75</v>
      </c>
      <c r="F70" s="161">
        <f t="shared" si="13"/>
        <v>0.25</v>
      </c>
      <c r="G70" s="137">
        <v>6</v>
      </c>
      <c r="H70" s="237">
        <f t="shared" si="20"/>
        <v>6</v>
      </c>
      <c r="I70" s="232"/>
      <c r="J70" s="235"/>
      <c r="K70" s="256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4"/>
      <c r="BM70" s="234"/>
      <c r="BN70" s="234"/>
      <c r="BO70" s="234"/>
      <c r="BP70" s="234"/>
      <c r="BQ70" s="234"/>
      <c r="BR70" s="234"/>
      <c r="BS70" s="234"/>
      <c r="BT70" s="234"/>
      <c r="BU70" s="234"/>
      <c r="BV70" s="234"/>
    </row>
    <row r="71" spans="1:74" s="233" customFormat="1" ht="15" customHeight="1" x14ac:dyDescent="0.25">
      <c r="A71" s="98" t="s">
        <v>151</v>
      </c>
      <c r="B71" s="228" t="s">
        <v>68</v>
      </c>
      <c r="C71" s="229">
        <v>45257</v>
      </c>
      <c r="D71" s="230">
        <v>0.78125</v>
      </c>
      <c r="E71" s="247">
        <v>0.95833333333333337</v>
      </c>
      <c r="F71" s="161">
        <f t="shared" si="13"/>
        <v>0.17708333333333337</v>
      </c>
      <c r="G71" s="137">
        <v>4.25</v>
      </c>
      <c r="H71" s="238"/>
      <c r="I71" s="232">
        <f>G71</f>
        <v>4.25</v>
      </c>
      <c r="J71" s="235">
        <f>G71</f>
        <v>4.25</v>
      </c>
      <c r="K71" s="256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  <c r="BP71" s="234"/>
      <c r="BQ71" s="234"/>
      <c r="BR71" s="234"/>
      <c r="BS71" s="234"/>
      <c r="BT71" s="234"/>
      <c r="BU71" s="234"/>
      <c r="BV71" s="234"/>
    </row>
    <row r="72" spans="1:74" s="233" customFormat="1" ht="15" customHeight="1" x14ac:dyDescent="0.25">
      <c r="A72" s="98" t="s">
        <v>141</v>
      </c>
      <c r="B72" s="228" t="s">
        <v>22</v>
      </c>
      <c r="C72" s="229">
        <v>45262</v>
      </c>
      <c r="D72" s="230">
        <v>0.5</v>
      </c>
      <c r="E72" s="247">
        <v>0.75</v>
      </c>
      <c r="F72" s="161">
        <f t="shared" si="13"/>
        <v>0.25</v>
      </c>
      <c r="G72" s="137">
        <v>6</v>
      </c>
      <c r="H72" s="237">
        <f>G72</f>
        <v>6</v>
      </c>
      <c r="I72" s="232"/>
      <c r="J72" s="235"/>
      <c r="K72" s="256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4"/>
      <c r="BM72" s="234"/>
      <c r="BN72" s="234"/>
      <c r="BO72" s="234"/>
      <c r="BP72" s="234"/>
      <c r="BQ72" s="234"/>
      <c r="BR72" s="234"/>
      <c r="BS72" s="234"/>
      <c r="BT72" s="234"/>
      <c r="BU72" s="234"/>
      <c r="BV72" s="234"/>
    </row>
    <row r="73" spans="1:74" s="233" customFormat="1" ht="15" customHeight="1" x14ac:dyDescent="0.25">
      <c r="A73" s="98" t="s">
        <v>96</v>
      </c>
      <c r="B73" s="228" t="s">
        <v>152</v>
      </c>
      <c r="C73" s="229">
        <v>45265</v>
      </c>
      <c r="D73" s="230">
        <v>0.75</v>
      </c>
      <c r="E73" s="247">
        <v>0.91666666666666663</v>
      </c>
      <c r="F73" s="161">
        <f t="shared" si="13"/>
        <v>0.16666666666666663</v>
      </c>
      <c r="G73" s="137">
        <v>4</v>
      </c>
      <c r="H73" s="238"/>
      <c r="I73" s="251">
        <f>G73</f>
        <v>4</v>
      </c>
      <c r="J73" s="235"/>
      <c r="K73" s="256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4"/>
      <c r="BM73" s="234"/>
      <c r="BN73" s="234"/>
      <c r="BO73" s="234"/>
      <c r="BP73" s="234"/>
      <c r="BQ73" s="234"/>
      <c r="BR73" s="234"/>
      <c r="BS73" s="234"/>
      <c r="BT73" s="234"/>
      <c r="BU73" s="234"/>
      <c r="BV73" s="234"/>
    </row>
    <row r="74" spans="1:74" s="233" customFormat="1" ht="15" customHeight="1" x14ac:dyDescent="0.25">
      <c r="A74" s="98" t="s">
        <v>70</v>
      </c>
      <c r="B74" s="228" t="s">
        <v>71</v>
      </c>
      <c r="C74" s="229">
        <v>45266</v>
      </c>
      <c r="D74" s="230">
        <v>0.54166666666666663</v>
      </c>
      <c r="E74" s="247">
        <v>0.875</v>
      </c>
      <c r="F74" s="161">
        <f t="shared" si="13"/>
        <v>0.33333333333333337</v>
      </c>
      <c r="G74" s="137">
        <v>8</v>
      </c>
      <c r="H74" s="237">
        <f>G74</f>
        <v>8</v>
      </c>
      <c r="I74" s="232">
        <f>H74</f>
        <v>8</v>
      </c>
      <c r="J74" s="235"/>
      <c r="K74" s="256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  <c r="BM74" s="234"/>
      <c r="BN74" s="234"/>
      <c r="BO74" s="234"/>
      <c r="BP74" s="234"/>
      <c r="BQ74" s="234"/>
      <c r="BR74" s="234"/>
      <c r="BS74" s="234"/>
      <c r="BT74" s="234"/>
      <c r="BU74" s="234"/>
      <c r="BV74" s="234"/>
    </row>
    <row r="75" spans="1:74" s="233" customFormat="1" ht="15" customHeight="1" x14ac:dyDescent="0.25">
      <c r="A75" s="98" t="s">
        <v>72</v>
      </c>
      <c r="B75" s="228" t="s">
        <v>153</v>
      </c>
      <c r="C75" s="229">
        <v>45267</v>
      </c>
      <c r="D75" s="230">
        <v>0.64583333333333337</v>
      </c>
      <c r="E75" s="247">
        <v>0.89583333333333337</v>
      </c>
      <c r="F75" s="161">
        <f t="shared" si="13"/>
        <v>0.25</v>
      </c>
      <c r="G75" s="137">
        <v>6</v>
      </c>
      <c r="H75" s="237">
        <f>G75</f>
        <v>6</v>
      </c>
      <c r="I75" s="232">
        <f>H75</f>
        <v>6</v>
      </c>
      <c r="J75" s="235"/>
      <c r="K75" s="256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  <c r="BP75" s="234"/>
      <c r="BQ75" s="234"/>
      <c r="BR75" s="234"/>
      <c r="BS75" s="234"/>
      <c r="BT75" s="234"/>
      <c r="BU75" s="234"/>
      <c r="BV75" s="234"/>
    </row>
    <row r="76" spans="1:74" s="233" customFormat="1" ht="15" customHeight="1" x14ac:dyDescent="0.25">
      <c r="A76" s="98" t="s">
        <v>141</v>
      </c>
      <c r="B76" s="228" t="s">
        <v>22</v>
      </c>
      <c r="C76" s="229">
        <v>45268</v>
      </c>
      <c r="D76" s="230">
        <v>0.66666666666666663</v>
      </c>
      <c r="E76" s="247">
        <v>0.91666666666666663</v>
      </c>
      <c r="F76" s="161">
        <f t="shared" si="13"/>
        <v>0.25</v>
      </c>
      <c r="G76" s="137">
        <v>6</v>
      </c>
      <c r="H76" s="237">
        <f t="shared" ref="H76:J79" si="26">G76</f>
        <v>6</v>
      </c>
      <c r="I76" s="232"/>
      <c r="J76" s="235"/>
      <c r="K76" s="256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4"/>
      <c r="BM76" s="234"/>
      <c r="BN76" s="234"/>
      <c r="BO76" s="234"/>
      <c r="BP76" s="234"/>
      <c r="BQ76" s="234"/>
      <c r="BR76" s="234"/>
      <c r="BS76" s="234"/>
      <c r="BT76" s="234"/>
      <c r="BU76" s="234"/>
      <c r="BV76" s="234"/>
    </row>
    <row r="77" spans="1:74" s="233" customFormat="1" ht="15" customHeight="1" x14ac:dyDescent="0.25">
      <c r="A77" s="98" t="s">
        <v>141</v>
      </c>
      <c r="B77" s="228" t="s">
        <v>22</v>
      </c>
      <c r="C77" s="229">
        <v>45269</v>
      </c>
      <c r="D77" s="230">
        <v>0.5</v>
      </c>
      <c r="E77" s="247">
        <v>0.75</v>
      </c>
      <c r="F77" s="161">
        <f t="shared" si="13"/>
        <v>0.25</v>
      </c>
      <c r="G77" s="137">
        <v>6</v>
      </c>
      <c r="H77" s="237">
        <f t="shared" si="26"/>
        <v>6</v>
      </c>
      <c r="I77" s="241">
        <f t="shared" si="26"/>
        <v>6</v>
      </c>
      <c r="J77" s="235"/>
      <c r="K77" s="256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  <c r="BP77" s="234"/>
      <c r="BQ77" s="234"/>
      <c r="BR77" s="234"/>
      <c r="BS77" s="234"/>
      <c r="BT77" s="234"/>
      <c r="BU77" s="234"/>
      <c r="BV77" s="234"/>
    </row>
    <row r="78" spans="1:74" s="233" customFormat="1" ht="15" customHeight="1" x14ac:dyDescent="0.25">
      <c r="A78" s="98" t="s">
        <v>141</v>
      </c>
      <c r="B78" s="228" t="s">
        <v>22</v>
      </c>
      <c r="C78" s="229">
        <v>45270</v>
      </c>
      <c r="D78" s="230">
        <v>0.5</v>
      </c>
      <c r="E78" s="247">
        <v>0.75</v>
      </c>
      <c r="F78" s="161">
        <f t="shared" si="13"/>
        <v>0.25</v>
      </c>
      <c r="G78" s="137">
        <v>6</v>
      </c>
      <c r="H78" s="237">
        <f t="shared" si="26"/>
        <v>6</v>
      </c>
      <c r="I78" s="241"/>
      <c r="J78" s="235"/>
      <c r="K78" s="256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  <c r="BP78" s="234"/>
      <c r="BQ78" s="234"/>
      <c r="BR78" s="234"/>
      <c r="BS78" s="234"/>
      <c r="BT78" s="234"/>
      <c r="BU78" s="234"/>
      <c r="BV78" s="234"/>
    </row>
    <row r="79" spans="1:74" s="233" customFormat="1" ht="15" customHeight="1" x14ac:dyDescent="0.25">
      <c r="A79" s="98" t="s">
        <v>206</v>
      </c>
      <c r="B79" s="228" t="s">
        <v>120</v>
      </c>
      <c r="C79" s="145">
        <v>45273</v>
      </c>
      <c r="D79" s="146">
        <v>0.375</v>
      </c>
      <c r="E79" s="150">
        <v>0.625</v>
      </c>
      <c r="F79" s="147">
        <f t="shared" si="13"/>
        <v>0.25</v>
      </c>
      <c r="G79" s="152">
        <v>6</v>
      </c>
      <c r="H79" s="148">
        <f t="shared" si="26"/>
        <v>6</v>
      </c>
      <c r="I79" s="148">
        <f t="shared" si="26"/>
        <v>6</v>
      </c>
      <c r="J79" s="217">
        <f t="shared" si="26"/>
        <v>6</v>
      </c>
      <c r="K79" s="256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4"/>
      <c r="AL79" s="234"/>
      <c r="AM79" s="234"/>
      <c r="AN79" s="234"/>
      <c r="AO79" s="234"/>
      <c r="AP79" s="234"/>
      <c r="AQ79" s="234"/>
      <c r="AR79" s="234"/>
      <c r="AS79" s="234"/>
      <c r="AT79" s="234"/>
      <c r="AU79" s="234"/>
      <c r="AV79" s="234"/>
      <c r="AW79" s="234"/>
      <c r="AX79" s="234"/>
      <c r="AY79" s="234"/>
      <c r="AZ79" s="234"/>
      <c r="BA79" s="234"/>
      <c r="BB79" s="234"/>
      <c r="BC79" s="234"/>
      <c r="BD79" s="234"/>
      <c r="BE79" s="234"/>
      <c r="BF79" s="234"/>
      <c r="BG79" s="234"/>
      <c r="BH79" s="234"/>
      <c r="BI79" s="234"/>
      <c r="BJ79" s="234"/>
      <c r="BK79" s="234"/>
      <c r="BL79" s="234"/>
      <c r="BM79" s="234"/>
      <c r="BN79" s="234"/>
      <c r="BO79" s="234"/>
      <c r="BP79" s="234"/>
      <c r="BQ79" s="234"/>
      <c r="BR79" s="234"/>
      <c r="BS79" s="234"/>
      <c r="BT79" s="234"/>
      <c r="BU79" s="234"/>
      <c r="BV79" s="234"/>
    </row>
    <row r="80" spans="1:74" s="233" customFormat="1" ht="15" customHeight="1" x14ac:dyDescent="0.25">
      <c r="A80" s="98" t="s">
        <v>96</v>
      </c>
      <c r="B80" s="228" t="s">
        <v>152</v>
      </c>
      <c r="C80" s="229">
        <v>45274</v>
      </c>
      <c r="D80" s="230">
        <v>0.75</v>
      </c>
      <c r="E80" s="247">
        <v>0.91666666666666663</v>
      </c>
      <c r="F80" s="161">
        <f t="shared" si="13"/>
        <v>0.16666666666666663</v>
      </c>
      <c r="G80" s="137">
        <v>4</v>
      </c>
      <c r="H80" s="238"/>
      <c r="I80" s="241">
        <f>G80</f>
        <v>4</v>
      </c>
      <c r="J80" s="235"/>
      <c r="K80" s="256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  <c r="BE80" s="234"/>
      <c r="BF80" s="234"/>
      <c r="BG80" s="234"/>
      <c r="BH80" s="234"/>
      <c r="BI80" s="234"/>
      <c r="BJ80" s="234"/>
      <c r="BK80" s="234"/>
      <c r="BL80" s="234"/>
      <c r="BM80" s="234"/>
      <c r="BN80" s="234"/>
      <c r="BO80" s="234"/>
      <c r="BP80" s="234"/>
      <c r="BQ80" s="234"/>
      <c r="BR80" s="234"/>
      <c r="BS80" s="234"/>
      <c r="BT80" s="234"/>
      <c r="BU80" s="234"/>
      <c r="BV80" s="234"/>
    </row>
    <row r="81" spans="1:74" s="233" customFormat="1" ht="15" customHeight="1" x14ac:dyDescent="0.25">
      <c r="A81" s="98" t="s">
        <v>141</v>
      </c>
      <c r="B81" s="228" t="s">
        <v>22</v>
      </c>
      <c r="C81" s="229">
        <v>45275</v>
      </c>
      <c r="D81" s="230">
        <v>0.66666666666666663</v>
      </c>
      <c r="E81" s="247">
        <v>0.91666666666666663</v>
      </c>
      <c r="F81" s="161">
        <f t="shared" si="13"/>
        <v>0.25</v>
      </c>
      <c r="G81" s="137">
        <v>6</v>
      </c>
      <c r="H81" s="237">
        <f t="shared" ref="H81:H88" si="27">G81</f>
        <v>6</v>
      </c>
      <c r="I81" s="241"/>
      <c r="J81" s="235"/>
      <c r="K81" s="256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4"/>
      <c r="AP81" s="234"/>
      <c r="AQ81" s="234"/>
      <c r="AR81" s="234"/>
      <c r="AS81" s="234"/>
      <c r="AT81" s="234"/>
      <c r="AU81" s="234"/>
      <c r="AV81" s="234"/>
      <c r="AW81" s="234"/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  <c r="BI81" s="234"/>
      <c r="BJ81" s="234"/>
      <c r="BK81" s="234"/>
      <c r="BL81" s="234"/>
      <c r="BM81" s="234"/>
      <c r="BN81" s="234"/>
      <c r="BO81" s="234"/>
      <c r="BP81" s="234"/>
      <c r="BQ81" s="234"/>
      <c r="BR81" s="234"/>
      <c r="BS81" s="234"/>
      <c r="BT81" s="234"/>
      <c r="BU81" s="234"/>
      <c r="BV81" s="234"/>
    </row>
    <row r="82" spans="1:74" s="233" customFormat="1" ht="15" customHeight="1" x14ac:dyDescent="0.25">
      <c r="A82" s="98" t="s">
        <v>10</v>
      </c>
      <c r="B82" s="228" t="s">
        <v>26</v>
      </c>
      <c r="C82" s="229">
        <v>45276</v>
      </c>
      <c r="D82" s="230">
        <v>0.60416666666666663</v>
      </c>
      <c r="E82" s="247">
        <v>0.8125</v>
      </c>
      <c r="F82" s="161">
        <f t="shared" si="13"/>
        <v>0.20833333333333337</v>
      </c>
      <c r="G82" s="137">
        <v>5</v>
      </c>
      <c r="H82" s="239">
        <f t="shared" si="27"/>
        <v>5</v>
      </c>
      <c r="I82" s="241"/>
      <c r="J82" s="235"/>
      <c r="K82" s="256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234"/>
      <c r="AN82" s="234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4"/>
      <c r="BG82" s="234"/>
      <c r="BH82" s="234"/>
      <c r="BI82" s="234"/>
      <c r="BJ82" s="234"/>
      <c r="BK82" s="234"/>
      <c r="BL82" s="234"/>
      <c r="BM82" s="234"/>
      <c r="BN82" s="234"/>
      <c r="BO82" s="234"/>
      <c r="BP82" s="234"/>
      <c r="BQ82" s="234"/>
      <c r="BR82" s="234"/>
      <c r="BS82" s="234"/>
      <c r="BT82" s="234"/>
      <c r="BU82" s="234"/>
      <c r="BV82" s="234"/>
    </row>
    <row r="83" spans="1:74" s="233" customFormat="1" ht="15" customHeight="1" x14ac:dyDescent="0.25">
      <c r="A83" s="98" t="s">
        <v>74</v>
      </c>
      <c r="B83" s="228" t="s">
        <v>154</v>
      </c>
      <c r="C83" s="229">
        <v>45280</v>
      </c>
      <c r="D83" s="230">
        <v>0.70833333333333337</v>
      </c>
      <c r="E83" s="247">
        <v>0.91666666666666663</v>
      </c>
      <c r="F83" s="161">
        <f t="shared" si="13"/>
        <v>0.20833333333333326</v>
      </c>
      <c r="G83" s="137">
        <v>5</v>
      </c>
      <c r="H83" s="239">
        <f t="shared" si="27"/>
        <v>5</v>
      </c>
      <c r="I83" s="241"/>
      <c r="J83" s="235"/>
      <c r="K83" s="256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234"/>
      <c r="AN83" s="234"/>
      <c r="AO83" s="234"/>
      <c r="AP83" s="234"/>
      <c r="AQ83" s="234"/>
      <c r="AR83" s="234"/>
      <c r="AS83" s="234"/>
      <c r="AT83" s="234"/>
      <c r="AU83" s="234"/>
      <c r="AV83" s="234"/>
      <c r="AW83" s="234"/>
      <c r="AX83" s="234"/>
      <c r="AY83" s="234"/>
      <c r="AZ83" s="234"/>
      <c r="BA83" s="234"/>
      <c r="BB83" s="234"/>
      <c r="BC83" s="234"/>
      <c r="BD83" s="234"/>
      <c r="BE83" s="234"/>
      <c r="BF83" s="234"/>
      <c r="BG83" s="234"/>
      <c r="BH83" s="234"/>
      <c r="BI83" s="234"/>
      <c r="BJ83" s="234"/>
      <c r="BK83" s="234"/>
      <c r="BL83" s="234"/>
      <c r="BM83" s="234"/>
      <c r="BN83" s="234"/>
      <c r="BO83" s="234"/>
      <c r="BP83" s="234"/>
      <c r="BQ83" s="234"/>
      <c r="BR83" s="234"/>
      <c r="BS83" s="234"/>
      <c r="BT83" s="234"/>
      <c r="BU83" s="234"/>
      <c r="BV83" s="234"/>
    </row>
    <row r="84" spans="1:74" s="233" customFormat="1" ht="15" customHeight="1" x14ac:dyDescent="0.25">
      <c r="A84" s="98" t="s">
        <v>73</v>
      </c>
      <c r="B84" s="228" t="s">
        <v>26</v>
      </c>
      <c r="C84" s="229">
        <v>45282</v>
      </c>
      <c r="D84" s="230">
        <v>0.33333333333333331</v>
      </c>
      <c r="E84" s="247">
        <v>0.52083333333333337</v>
      </c>
      <c r="F84" s="161">
        <f t="shared" si="13"/>
        <v>0.18750000000000006</v>
      </c>
      <c r="G84" s="137">
        <v>4.5</v>
      </c>
      <c r="H84" s="239">
        <f t="shared" si="27"/>
        <v>4.5</v>
      </c>
      <c r="I84" s="242">
        <f>H84</f>
        <v>4.5</v>
      </c>
      <c r="J84" s="235"/>
      <c r="K84" s="256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234"/>
      <c r="AN84" s="234"/>
      <c r="AO84" s="234"/>
      <c r="AP84" s="234"/>
      <c r="AQ84" s="234"/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  <c r="BE84" s="234"/>
      <c r="BF84" s="234"/>
      <c r="BG84" s="234"/>
      <c r="BH84" s="234"/>
      <c r="BI84" s="234"/>
      <c r="BJ84" s="234"/>
      <c r="BK84" s="234"/>
      <c r="BL84" s="234"/>
      <c r="BM84" s="234"/>
      <c r="BN84" s="234"/>
      <c r="BO84" s="234"/>
      <c r="BP84" s="234"/>
      <c r="BQ84" s="234"/>
      <c r="BR84" s="234"/>
      <c r="BS84" s="234"/>
      <c r="BT84" s="234"/>
      <c r="BU84" s="234"/>
      <c r="BV84" s="234"/>
    </row>
    <row r="85" spans="1:74" s="233" customFormat="1" ht="15" customHeight="1" x14ac:dyDescent="0.25">
      <c r="A85" s="236" t="s">
        <v>141</v>
      </c>
      <c r="B85" s="228" t="s">
        <v>22</v>
      </c>
      <c r="C85" s="229">
        <v>45282</v>
      </c>
      <c r="D85" s="230">
        <v>0.66666666666666663</v>
      </c>
      <c r="E85" s="247">
        <v>0.91666666666666663</v>
      </c>
      <c r="F85" s="161">
        <f t="shared" si="13"/>
        <v>0.25</v>
      </c>
      <c r="G85" s="137">
        <v>6</v>
      </c>
      <c r="H85" s="239">
        <f t="shared" si="27"/>
        <v>6</v>
      </c>
      <c r="I85" s="242">
        <f>H85</f>
        <v>6</v>
      </c>
      <c r="J85" s="235"/>
      <c r="K85" s="256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234"/>
      <c r="AN85" s="234"/>
      <c r="AO85" s="234"/>
      <c r="AP85" s="234"/>
      <c r="AQ85" s="234"/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  <c r="BI85" s="234"/>
      <c r="BJ85" s="234"/>
      <c r="BK85" s="234"/>
      <c r="BL85" s="234"/>
      <c r="BM85" s="234"/>
      <c r="BN85" s="234"/>
      <c r="BO85" s="234"/>
      <c r="BP85" s="234"/>
      <c r="BQ85" s="234"/>
      <c r="BR85" s="234"/>
      <c r="BS85" s="234"/>
      <c r="BT85" s="234"/>
      <c r="BU85" s="234"/>
      <c r="BV85" s="234"/>
    </row>
    <row r="86" spans="1:74" s="233" customFormat="1" ht="15" customHeight="1" x14ac:dyDescent="0.25">
      <c r="A86" s="236" t="s">
        <v>141</v>
      </c>
      <c r="B86" s="228" t="s">
        <v>22</v>
      </c>
      <c r="C86" s="229">
        <v>45283</v>
      </c>
      <c r="D86" s="230">
        <v>0.5</v>
      </c>
      <c r="E86" s="247">
        <v>0.75</v>
      </c>
      <c r="F86" s="161">
        <f t="shared" si="13"/>
        <v>0.25</v>
      </c>
      <c r="G86" s="137">
        <v>6</v>
      </c>
      <c r="H86" s="239">
        <f t="shared" si="27"/>
        <v>6</v>
      </c>
      <c r="I86" s="242"/>
      <c r="J86" s="235"/>
      <c r="K86" s="256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/>
      <c r="BK86" s="234"/>
      <c r="BL86" s="234"/>
      <c r="BM86" s="234"/>
      <c r="BN86" s="234"/>
      <c r="BO86" s="234"/>
      <c r="BP86" s="234"/>
      <c r="BQ86" s="234"/>
      <c r="BR86" s="234"/>
      <c r="BS86" s="234"/>
      <c r="BT86" s="234"/>
      <c r="BU86" s="234"/>
      <c r="BV86" s="234"/>
    </row>
    <row r="87" spans="1:74" s="233" customFormat="1" ht="15" customHeight="1" x14ac:dyDescent="0.25">
      <c r="A87" s="236" t="s">
        <v>25</v>
      </c>
      <c r="B87" s="228" t="s">
        <v>22</v>
      </c>
      <c r="C87" s="229">
        <v>45286</v>
      </c>
      <c r="D87" s="230">
        <v>0.51041666666666663</v>
      </c>
      <c r="E87" s="247">
        <v>0.96875</v>
      </c>
      <c r="F87" s="161">
        <f t="shared" si="13"/>
        <v>0.45833333333333337</v>
      </c>
      <c r="G87" s="137">
        <v>11</v>
      </c>
      <c r="H87" s="239">
        <f t="shared" si="27"/>
        <v>11</v>
      </c>
      <c r="I87" s="242"/>
      <c r="J87" s="235"/>
      <c r="K87" s="256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234"/>
      <c r="AN87" s="234"/>
      <c r="AO87" s="234"/>
      <c r="AP87" s="234"/>
      <c r="AQ87" s="234"/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  <c r="BM87" s="234"/>
      <c r="BN87" s="234"/>
      <c r="BO87" s="234"/>
      <c r="BP87" s="234"/>
      <c r="BQ87" s="234"/>
      <c r="BR87" s="234"/>
      <c r="BS87" s="234"/>
      <c r="BT87" s="234"/>
      <c r="BU87" s="234"/>
      <c r="BV87" s="234"/>
    </row>
    <row r="88" spans="1:74" s="233" customFormat="1" ht="15" customHeight="1" thickBot="1" x14ac:dyDescent="0.3">
      <c r="A88" s="236" t="s">
        <v>52</v>
      </c>
      <c r="B88" s="228" t="s">
        <v>22</v>
      </c>
      <c r="C88" s="229">
        <v>45290</v>
      </c>
      <c r="D88" s="245">
        <v>0.72916666666666663</v>
      </c>
      <c r="E88" s="248">
        <v>0.97916666666666663</v>
      </c>
      <c r="F88" s="161">
        <f t="shared" si="13"/>
        <v>0.25</v>
      </c>
      <c r="G88" s="137">
        <v>6</v>
      </c>
      <c r="H88" s="240">
        <f t="shared" si="27"/>
        <v>6</v>
      </c>
      <c r="I88" s="243"/>
      <c r="J88" s="246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  <c r="BI88" s="234"/>
      <c r="BJ88" s="234"/>
      <c r="BK88" s="234"/>
      <c r="BL88" s="234"/>
      <c r="BM88" s="234"/>
      <c r="BN88" s="234"/>
      <c r="BO88" s="234"/>
      <c r="BP88" s="234"/>
      <c r="BQ88" s="234"/>
      <c r="BR88" s="234"/>
      <c r="BS88" s="234"/>
      <c r="BT88" s="234"/>
      <c r="BU88" s="234"/>
      <c r="BV88" s="234"/>
    </row>
    <row r="89" spans="1:74" s="29" customFormat="1" ht="15" customHeight="1" thickBot="1" x14ac:dyDescent="0.3">
      <c r="A89" s="108" t="s">
        <v>24</v>
      </c>
      <c r="B89" s="109"/>
      <c r="C89" s="110"/>
      <c r="D89" s="111"/>
      <c r="E89" s="109"/>
      <c r="F89" s="111"/>
      <c r="G89" s="113"/>
      <c r="H89" s="118">
        <f>SUM(H2:H88)</f>
        <v>537.5</v>
      </c>
      <c r="I89" s="112">
        <f>SUM(I2:I88)</f>
        <v>297.5</v>
      </c>
      <c r="J89" s="113">
        <f>SUM(J2:J88)</f>
        <v>254.5</v>
      </c>
      <c r="K89" s="10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</row>
    <row r="90" spans="1:74" s="29" customFormat="1" ht="15" customHeight="1" x14ac:dyDescent="0.25">
      <c r="A90" s="166"/>
      <c r="B90" s="3"/>
      <c r="C90" s="3"/>
      <c r="D90" s="3"/>
      <c r="E90" s="3"/>
      <c r="F90" s="3"/>
      <c r="G90" s="3"/>
      <c r="H90" s="167"/>
      <c r="I90" s="3"/>
      <c r="J90" s="3"/>
      <c r="K90" s="10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</row>
    <row r="91" spans="1:74" s="29" customFormat="1" ht="15" customHeight="1" x14ac:dyDescent="0.25">
      <c r="A91" s="132" t="s">
        <v>201</v>
      </c>
      <c r="B91" s="3"/>
      <c r="C91" s="3"/>
      <c r="D91" s="3"/>
      <c r="E91" s="3"/>
      <c r="F91" s="3"/>
      <c r="G91" s="3"/>
      <c r="H91" s="167"/>
      <c r="I91" s="3"/>
      <c r="J91" s="3"/>
      <c r="K91" s="10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</row>
    <row r="92" spans="1:74" s="29" customFormat="1" ht="15" customHeight="1" x14ac:dyDescent="0.25">
      <c r="A92" s="2"/>
      <c r="B92" s="3"/>
      <c r="C92" s="3"/>
      <c r="D92" s="3"/>
      <c r="E92" s="3"/>
      <c r="F92" s="3"/>
      <c r="G92" s="3"/>
      <c r="H92" s="167"/>
      <c r="I92" s="31"/>
      <c r="J92" s="3"/>
      <c r="K92" s="10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</row>
    <row r="93" spans="1:74" s="133" customForma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5"/>
      <c r="L93" s="35"/>
      <c r="M93" s="35"/>
      <c r="N93" s="136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</row>
    <row r="94" spans="1:74" s="29" customFormat="1" ht="15" customHeight="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10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</row>
    <row r="95" spans="1:74" s="29" customFormat="1" ht="15" customHeight="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10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</row>
    <row r="96" spans="1:74" s="135" customFormat="1" ht="1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10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134"/>
      <c r="BF96" s="134"/>
      <c r="BG96" s="134"/>
      <c r="BH96" s="134"/>
      <c r="BI96" s="134"/>
      <c r="BJ96" s="134"/>
      <c r="BK96" s="134"/>
      <c r="BL96" s="134"/>
      <c r="BM96" s="134"/>
      <c r="BN96" s="134"/>
      <c r="BO96" s="134"/>
      <c r="BP96" s="134"/>
      <c r="BQ96" s="134"/>
      <c r="BR96" s="134"/>
      <c r="BS96" s="134"/>
      <c r="BT96" s="134"/>
      <c r="BU96" s="134"/>
      <c r="BV96" s="134"/>
    </row>
    <row r="97" spans="1:74" s="29" customFormat="1" ht="15" customHeight="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10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</row>
    <row r="98" spans="1:74" s="135" customFormat="1" ht="15" customHeight="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10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134"/>
      <c r="BF98" s="134"/>
      <c r="BG98" s="134"/>
      <c r="BH98" s="134"/>
      <c r="BI98" s="134"/>
      <c r="BJ98" s="134"/>
      <c r="BK98" s="134"/>
      <c r="BL98" s="134"/>
      <c r="BM98" s="134"/>
      <c r="BN98" s="134"/>
      <c r="BO98" s="134"/>
      <c r="BP98" s="134"/>
      <c r="BQ98" s="134"/>
      <c r="BR98" s="134"/>
      <c r="BS98" s="134"/>
      <c r="BT98" s="134"/>
      <c r="BU98" s="134"/>
      <c r="BV98" s="134"/>
    </row>
    <row r="99" spans="1:74" s="29" customFormat="1" ht="15" customHeight="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10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</row>
    <row r="100" spans="1:74" s="29" customFormat="1" ht="15" customHeight="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10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</row>
    <row r="101" spans="1:74" s="29" customFormat="1" ht="15" customHeight="1" x14ac:dyDescent="0.25">
      <c r="A101" s="2"/>
      <c r="B101" s="3"/>
      <c r="C101" s="3"/>
      <c r="D101" s="3"/>
      <c r="E101" s="3"/>
      <c r="F101" s="3"/>
      <c r="G101" s="3"/>
      <c r="H101" s="3"/>
      <c r="I101" s="3"/>
      <c r="J101" s="3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</row>
    <row r="102" spans="1:74" s="29" customFormat="1" ht="15" customHeight="1" x14ac:dyDescent="0.25">
      <c r="A102" s="2"/>
      <c r="B102" s="3"/>
      <c r="C102" s="3"/>
      <c r="D102" s="3"/>
      <c r="E102" s="3"/>
      <c r="F102" s="3"/>
      <c r="G102" s="3"/>
      <c r="H102" s="3"/>
      <c r="I102" s="3"/>
      <c r="J102" s="3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</row>
    <row r="103" spans="1:74" s="15" customFormat="1" ht="29.25" customHeight="1" x14ac:dyDescent="0.25">
      <c r="A103" s="2"/>
      <c r="B103" s="3"/>
      <c r="C103" s="3"/>
      <c r="D103" s="3"/>
      <c r="E103" s="3"/>
      <c r="F103" s="3"/>
      <c r="G103" s="3"/>
      <c r="H103" s="3"/>
      <c r="I103" s="3"/>
      <c r="J103" s="3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02"/>
      <c r="BN103" s="102"/>
      <c r="BO103" s="102"/>
      <c r="BP103" s="102"/>
      <c r="BQ103" s="102"/>
      <c r="BR103" s="102"/>
      <c r="BS103" s="102"/>
      <c r="BT103" s="102"/>
      <c r="BU103" s="102"/>
      <c r="BV103" s="102"/>
    </row>
    <row r="104" spans="1:74" s="29" customFormat="1" ht="15" customHeight="1" x14ac:dyDescent="0.25">
      <c r="A104" s="2"/>
      <c r="B104" s="3"/>
      <c r="C104" s="3"/>
      <c r="D104" s="3"/>
      <c r="E104" s="3"/>
      <c r="F104" s="3"/>
      <c r="G104" s="3"/>
      <c r="H104" s="3"/>
      <c r="I104" s="3"/>
      <c r="J104" s="3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</row>
    <row r="105" spans="1:74" s="29" customFormat="1" ht="15" customHeight="1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</row>
    <row r="106" spans="1:74" s="29" customFormat="1" ht="15" customHeight="1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</row>
    <row r="107" spans="1:74" s="29" customFormat="1" ht="15" customHeight="1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</row>
    <row r="108" spans="1:74" s="29" customFormat="1" ht="15" customHeight="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10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</row>
    <row r="109" spans="1:74" s="29" customFormat="1" ht="15" customHeight="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10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</row>
    <row r="110" spans="1:74" s="29" customFormat="1" ht="15" customHeight="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</row>
    <row r="111" spans="1:74" s="29" customFormat="1" ht="15" customHeight="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</row>
    <row r="112" spans="1:74" s="29" customFormat="1" ht="15" customHeight="1" x14ac:dyDescent="0.25">
      <c r="A112" s="2"/>
      <c r="B112" s="3"/>
      <c r="C112" s="3"/>
      <c r="D112" s="3"/>
      <c r="E112" s="3"/>
      <c r="F112" s="3"/>
      <c r="G112" s="3"/>
      <c r="H112" s="3"/>
      <c r="I112" s="3"/>
      <c r="J112" s="3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</row>
    <row r="113" spans="1:74" s="29" customFormat="1" ht="15" customHeight="1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</row>
    <row r="114" spans="1:74" s="29" customFormat="1" ht="15" customHeight="1" x14ac:dyDescent="0.2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10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</row>
    <row r="115" spans="1:74" s="29" customFormat="1" ht="15" customHeight="1" x14ac:dyDescent="0.2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10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</row>
    <row r="116" spans="1:74" s="29" customFormat="1" ht="15" customHeight="1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10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</row>
    <row r="117" spans="1:74" s="29" customFormat="1" ht="15" customHeight="1" x14ac:dyDescent="0.2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10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</row>
    <row r="118" spans="1:74" s="29" customFormat="1" ht="15" customHeight="1" x14ac:dyDescent="0.2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10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</row>
    <row r="119" spans="1:74" s="29" customFormat="1" ht="15" customHeight="1" x14ac:dyDescent="0.2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10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</row>
    <row r="120" spans="1:74" s="29" customFormat="1" ht="15" customHeight="1" x14ac:dyDescent="0.2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10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</row>
    <row r="121" spans="1:74" s="29" customFormat="1" ht="15" customHeight="1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10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</row>
    <row r="122" spans="1:74" s="29" customFormat="1" ht="15" customHeight="1" x14ac:dyDescent="0.2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10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</row>
    <row r="123" spans="1:74" s="29" customFormat="1" ht="15" customHeight="1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10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</row>
    <row r="124" spans="1:74" s="29" customFormat="1" ht="15" customHeight="1" x14ac:dyDescent="0.2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10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</row>
    <row r="125" spans="1:74" s="29" customFormat="1" ht="15" customHeight="1" x14ac:dyDescent="0.2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10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</row>
    <row r="126" spans="1:74" s="29" customFormat="1" ht="15" customHeight="1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10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</row>
    <row r="127" spans="1:74" s="29" customFormat="1" ht="15" customHeight="1" x14ac:dyDescent="0.2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10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</row>
    <row r="128" spans="1:74" s="29" customFormat="1" ht="15" customHeight="1" x14ac:dyDescent="0.2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10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</row>
    <row r="129" spans="1:74" s="29" customFormat="1" ht="15" customHeight="1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10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</row>
    <row r="130" spans="1:74" s="29" customFormat="1" ht="15" customHeight="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10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</row>
    <row r="131" spans="1:74" s="15" customFormat="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106"/>
      <c r="L131" s="101"/>
      <c r="M131" s="162"/>
      <c r="N131" s="163"/>
      <c r="O131" s="46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</row>
    <row r="132" spans="1:74" s="15" customFormat="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106"/>
      <c r="L132" s="101"/>
      <c r="M132" s="162"/>
      <c r="N132" s="29"/>
      <c r="O132" s="46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</row>
    <row r="133" spans="1:74" s="15" customFormat="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106"/>
      <c r="L133" s="101"/>
      <c r="M133" s="162"/>
      <c r="N133" s="29"/>
      <c r="O133" s="46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</row>
    <row r="134" spans="1:74" s="15" customFormat="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106"/>
      <c r="L134" s="101"/>
      <c r="M134" s="162"/>
      <c r="N134" s="29"/>
      <c r="O134" s="46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</row>
    <row r="135" spans="1:74" s="15" customFormat="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106"/>
      <c r="L135" s="101"/>
      <c r="M135" s="162"/>
      <c r="N135" s="29"/>
      <c r="O135" s="46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</row>
    <row r="136" spans="1:74" s="15" customFormat="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106"/>
      <c r="L136" s="101"/>
      <c r="M136" s="162"/>
      <c r="N136" s="29"/>
      <c r="O136" s="46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</row>
    <row r="137" spans="1:74" s="15" customFormat="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106"/>
      <c r="L137" s="101"/>
      <c r="M137" s="162"/>
      <c r="N137" s="29"/>
      <c r="O137" s="46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</row>
    <row r="138" spans="1:74" s="29" customFormat="1" ht="15" customHeight="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10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</row>
    <row r="139" spans="1:74" s="29" customFormat="1" ht="15" customHeight="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10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</row>
    <row r="140" spans="1:74" s="29" customFormat="1" ht="15" customHeight="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10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</row>
    <row r="141" spans="1:74" s="29" customFormat="1" ht="15" customHeight="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10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</row>
    <row r="142" spans="1:74" s="29" customFormat="1" ht="15" customHeight="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10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</row>
    <row r="143" spans="1:74" s="29" customFormat="1" ht="15" customHeight="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10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</row>
    <row r="144" spans="1:74" s="29" customFormat="1" ht="15" customHeight="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10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</row>
    <row r="145" spans="1:74" s="29" customFormat="1" ht="15" customHeight="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106"/>
      <c r="L145" s="46"/>
      <c r="M145" s="46"/>
      <c r="N145" s="46"/>
      <c r="O145" s="30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</row>
    <row r="146" spans="1:74" s="29" customFormat="1" ht="15" customHeight="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106"/>
      <c r="L146" s="46"/>
      <c r="M146" s="46"/>
      <c r="N146" s="46"/>
      <c r="O146" s="30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</row>
    <row r="147" spans="1:74" s="29" customFormat="1" ht="15" customHeight="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10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</row>
    <row r="148" spans="1:74" s="29" customFormat="1" ht="15" customHeight="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10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</row>
    <row r="149" spans="1:74" s="29" customFormat="1" ht="15" customHeight="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10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</row>
    <row r="150" spans="1:74" s="29" customFormat="1" ht="15" customHeight="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10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</row>
    <row r="151" spans="1:74" s="29" customFormat="1" ht="15" customHeight="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10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</row>
    <row r="152" spans="1:74" s="29" customFormat="1" ht="15" customHeight="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10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</row>
    <row r="153" spans="1:74" s="29" customFormat="1" ht="15" customHeight="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10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</row>
    <row r="154" spans="1:74" s="29" customFormat="1" ht="15" customHeight="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10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</row>
    <row r="155" spans="1:74" s="29" customFormat="1" ht="15" customHeight="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10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</row>
    <row r="156" spans="1:74" s="29" customFormat="1" ht="15" customHeight="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10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</row>
    <row r="157" spans="1:74" s="29" customFormat="1" ht="15" customHeight="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10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</row>
    <row r="158" spans="1:74" s="29" customFormat="1" ht="15" customHeight="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10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</row>
    <row r="159" spans="1:74" s="29" customFormat="1" ht="15" customHeight="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10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</row>
    <row r="160" spans="1:74" s="29" customFormat="1" ht="14.25" customHeight="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10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</row>
    <row r="161" spans="1:74" s="29" customFormat="1" ht="14.25" customHeight="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10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</row>
    <row r="162" spans="1:74" s="29" customFormat="1" ht="15" customHeight="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10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</row>
    <row r="163" spans="1:74" s="15" customFormat="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106"/>
      <c r="L163" s="101"/>
      <c r="M163" s="101"/>
      <c r="N163" s="104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</row>
    <row r="164" spans="1:74" s="29" customFormat="1" ht="15" customHeight="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10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</row>
    <row r="165" spans="1:74" s="29" customFormat="1" ht="15" customHeight="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10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</row>
    <row r="166" spans="1:74" s="29" customFormat="1" ht="15" customHeight="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107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</row>
    <row r="167" spans="1:74" s="29" customFormat="1" ht="15" customHeight="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10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</row>
    <row r="168" spans="1:74" s="29" customFormat="1" ht="15" customHeight="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10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</row>
    <row r="169" spans="1:74" s="29" customFormat="1" ht="15" customHeight="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10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</row>
    <row r="170" spans="1:74" s="29" customFormat="1" ht="15" customHeight="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10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</row>
    <row r="171" spans="1:74" s="29" customFormat="1" ht="15" customHeight="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10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</row>
    <row r="172" spans="1:74" s="29" customFormat="1" ht="15" customHeight="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10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</row>
    <row r="173" spans="1:74" s="29" customFormat="1" ht="15" customHeight="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10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</row>
    <row r="174" spans="1:74" s="29" customFormat="1" ht="15" customHeight="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10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</row>
    <row r="175" spans="1:74" s="29" customFormat="1" ht="15" customHeight="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10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</row>
    <row r="176" spans="1:74" s="29" customFormat="1" ht="15" customHeight="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10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</row>
    <row r="177" spans="1:74" s="29" customFormat="1" ht="15.75" customHeight="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10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</row>
    <row r="178" spans="1:74" s="15" customFormat="1" ht="15.75" customHeight="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106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  <c r="BM178" s="102"/>
      <c r="BN178" s="102"/>
      <c r="BO178" s="102"/>
      <c r="BP178" s="102"/>
      <c r="BQ178" s="102"/>
      <c r="BR178" s="102"/>
      <c r="BS178" s="102"/>
      <c r="BT178" s="102"/>
      <c r="BU178" s="102"/>
      <c r="BV178" s="102"/>
    </row>
    <row r="179" spans="1:74" s="15" customFormat="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106"/>
      <c r="L179" s="101"/>
      <c r="M179" s="101"/>
      <c r="N179" s="104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2"/>
      <c r="BI179" s="102"/>
      <c r="BJ179" s="102"/>
      <c r="BK179" s="102"/>
      <c r="BL179" s="102"/>
      <c r="BM179" s="102"/>
      <c r="BN179" s="102"/>
      <c r="BO179" s="102"/>
      <c r="BP179" s="102"/>
      <c r="BQ179" s="102"/>
      <c r="BR179" s="102"/>
      <c r="BS179" s="102"/>
      <c r="BT179" s="102"/>
      <c r="BU179" s="102"/>
      <c r="BV179" s="102"/>
    </row>
    <row r="180" spans="1:74" s="15" customFormat="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106"/>
      <c r="L180" s="101"/>
      <c r="M180" s="101"/>
      <c r="N180" s="104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</row>
    <row r="181" spans="1:74" s="15" customFormat="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106"/>
      <c r="L181" s="101"/>
      <c r="M181" s="101"/>
      <c r="N181" s="104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102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</row>
    <row r="182" spans="1:74" s="15" customFormat="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106"/>
      <c r="L182" s="101"/>
      <c r="M182" s="101"/>
      <c r="N182" s="104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02"/>
      <c r="BN182" s="102"/>
      <c r="BO182" s="102"/>
      <c r="BP182" s="102"/>
      <c r="BQ182" s="102"/>
      <c r="BR182" s="102"/>
      <c r="BS182" s="102"/>
      <c r="BT182" s="102"/>
      <c r="BU182" s="102"/>
      <c r="BV182" s="102"/>
    </row>
    <row r="183" spans="1:74" s="15" customFormat="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106"/>
      <c r="L183" s="101"/>
      <c r="M183" s="101"/>
      <c r="N183" s="104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</row>
    <row r="184" spans="1:74" s="15" customFormat="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107"/>
      <c r="L184" s="3"/>
      <c r="M184" s="3"/>
      <c r="N184" s="28"/>
    </row>
    <row r="185" spans="1:74" s="15" customFormat="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28"/>
    </row>
    <row r="186" spans="1:74" s="15" customFormat="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28"/>
    </row>
    <row r="187" spans="1:74" s="15" customFormat="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28"/>
    </row>
    <row r="188" spans="1:74" s="15" customFormat="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28"/>
    </row>
    <row r="189" spans="1:74" s="15" customFormat="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28"/>
    </row>
    <row r="190" spans="1:74" s="15" customFormat="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28"/>
    </row>
    <row r="191" spans="1:74" s="15" customFormat="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28"/>
    </row>
    <row r="192" spans="1:74" s="15" customFormat="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28"/>
    </row>
    <row r="193" spans="1:14" s="15" customFormat="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28"/>
    </row>
    <row r="194" spans="1:14" s="15" customFormat="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28"/>
    </row>
    <row r="195" spans="1:14" s="15" customFormat="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28"/>
    </row>
    <row r="196" spans="1:14" s="15" customFormat="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28"/>
    </row>
    <row r="197" spans="1:14" s="15" customFormat="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28"/>
    </row>
    <row r="198" spans="1:14" s="15" customFormat="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28"/>
    </row>
    <row r="199" spans="1:14" s="15" customFormat="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28"/>
    </row>
    <row r="200" spans="1:14" s="15" customFormat="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28"/>
    </row>
    <row r="201" spans="1:14" s="15" customFormat="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28"/>
    </row>
    <row r="202" spans="1:14" s="15" customFormat="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28"/>
    </row>
    <row r="203" spans="1:14" s="15" customFormat="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28"/>
    </row>
    <row r="204" spans="1:14" s="15" customFormat="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28"/>
    </row>
    <row r="205" spans="1:14" s="15" customFormat="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28"/>
    </row>
    <row r="206" spans="1:14" s="15" customFormat="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28"/>
    </row>
    <row r="207" spans="1:14" s="15" customFormat="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28"/>
    </row>
    <row r="208" spans="1:14" s="15" customFormat="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28"/>
    </row>
    <row r="209" spans="1:15" s="15" customFormat="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28"/>
    </row>
    <row r="210" spans="1:15" s="24" customFormat="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28"/>
      <c r="O210" s="24" t="s">
        <v>32</v>
      </c>
    </row>
    <row r="211" spans="1:15" s="15" customFormat="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28"/>
    </row>
    <row r="212" spans="1:15" s="15" customFormat="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28"/>
    </row>
    <row r="213" spans="1:15" s="15" customFormat="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28"/>
    </row>
    <row r="214" spans="1:15" s="15" customFormat="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28"/>
      <c r="O214" s="15" t="s">
        <v>27</v>
      </c>
    </row>
    <row r="215" spans="1:15" s="15" customFormat="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28"/>
    </row>
    <row r="216" spans="1:15" s="15" customFormat="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28"/>
      <c r="O216" s="15" t="s">
        <v>27</v>
      </c>
    </row>
    <row r="217" spans="1:15" s="15" customFormat="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28"/>
    </row>
    <row r="218" spans="1:15" s="15" customFormat="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28"/>
    </row>
    <row r="219" spans="1:15" s="15" customFormat="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28"/>
    </row>
    <row r="220" spans="1:15" s="24" customFormat="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28"/>
      <c r="O220" s="24" t="s">
        <v>31</v>
      </c>
    </row>
    <row r="221" spans="1:15" s="15" customFormat="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28"/>
      <c r="O221" s="15" t="s">
        <v>28</v>
      </c>
    </row>
    <row r="222" spans="1:15" s="15" customFormat="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28"/>
    </row>
    <row r="223" spans="1:15" s="15" customFormat="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28"/>
    </row>
    <row r="224" spans="1:15" s="15" customFormat="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28"/>
    </row>
    <row r="225" spans="1:15" s="15" customFormat="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28"/>
    </row>
    <row r="226" spans="1:15" s="15" customFormat="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28"/>
    </row>
    <row r="227" spans="1:15" s="15" customFormat="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28"/>
    </row>
    <row r="228" spans="1:15" s="15" customFormat="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28"/>
    </row>
    <row r="229" spans="1:15" s="15" customFormat="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28"/>
      <c r="O229" s="15" t="s">
        <v>27</v>
      </c>
    </row>
    <row r="230" spans="1:15" s="15" customFormat="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28"/>
      <c r="O230" s="15" t="s">
        <v>27</v>
      </c>
    </row>
    <row r="231" spans="1:15" s="15" customFormat="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28"/>
    </row>
    <row r="232" spans="1:15" s="15" customFormat="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28"/>
    </row>
    <row r="233" spans="1:15" s="15" customFormat="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28"/>
    </row>
    <row r="234" spans="1:15" s="15" customFormat="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28"/>
    </row>
    <row r="235" spans="1:15" s="15" customFormat="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28"/>
    </row>
    <row r="236" spans="1:15" s="15" customFormat="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28"/>
    </row>
    <row r="237" spans="1:15" s="15" customFormat="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28"/>
    </row>
    <row r="238" spans="1:15" s="15" customFormat="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28"/>
      <c r="O238" s="15" t="s">
        <v>27</v>
      </c>
    </row>
    <row r="239" spans="1:15" s="15" customFormat="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28"/>
    </row>
    <row r="240" spans="1:15" s="15" customFormat="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28"/>
    </row>
    <row r="241" spans="1:15" s="15" customFormat="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28"/>
      <c r="O241" s="15" t="s">
        <v>27</v>
      </c>
    </row>
    <row r="242" spans="1:15" s="15" customFormat="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28"/>
    </row>
    <row r="243" spans="1:15" s="15" customFormat="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28"/>
    </row>
    <row r="244" spans="1:15" s="15" customFormat="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28"/>
    </row>
    <row r="245" spans="1:15" s="15" customFormat="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28"/>
      <c r="O245" s="15" t="s">
        <v>29</v>
      </c>
    </row>
    <row r="246" spans="1:15" s="15" customFormat="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28"/>
    </row>
    <row r="247" spans="1:15" s="15" customFormat="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28"/>
    </row>
    <row r="248" spans="1:15" s="15" customFormat="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28"/>
      <c r="O248" s="15" t="s">
        <v>27</v>
      </c>
    </row>
    <row r="249" spans="1:15" s="15" customFormat="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28"/>
      <c r="O249" s="15" t="s">
        <v>30</v>
      </c>
    </row>
    <row r="250" spans="1:15" s="15" customFormat="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28"/>
    </row>
    <row r="251" spans="1:15" s="15" customFormat="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28"/>
    </row>
    <row r="252" spans="1:15" s="15" customFormat="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28"/>
    </row>
    <row r="253" spans="1:15" s="15" customFormat="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28"/>
    </row>
    <row r="254" spans="1:15" s="15" customFormat="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28"/>
    </row>
    <row r="255" spans="1:15" s="11" customFormat="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28"/>
    </row>
    <row r="256" spans="1:15" s="19" customFormat="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28"/>
    </row>
  </sheetData>
  <phoneticPr fontId="29" type="noConversion"/>
  <pageMargins left="0.7" right="0.7" top="0.78740157499999996" bottom="0.78740157499999996" header="0.3" footer="0.3"/>
  <pageSetup paperSize="9" orientation="portrait" r:id="rId1"/>
  <ignoredErrors>
    <ignoredError sqref="I3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>
      <pane ySplit="1" topLeftCell="A2" activePane="bottomLeft" state="frozen"/>
      <selection pane="bottomLeft" activeCell="A26" sqref="A26"/>
    </sheetView>
  </sheetViews>
  <sheetFormatPr baseColWidth="10" defaultRowHeight="15" x14ac:dyDescent="0.25"/>
  <cols>
    <col min="1" max="1" width="62.85546875" style="3" customWidth="1"/>
    <col min="2" max="2" width="15.28515625" style="3" customWidth="1"/>
    <col min="3" max="5" width="11.5703125" style="3" customWidth="1"/>
    <col min="6" max="6" width="14" style="3" customWidth="1"/>
    <col min="7" max="12" width="15.42578125" style="3" customWidth="1"/>
  </cols>
  <sheetData>
    <row r="1" spans="1:14" ht="39.75" thickBot="1" x14ac:dyDescent="0.35">
      <c r="A1" s="125" t="s">
        <v>56</v>
      </c>
      <c r="B1" s="122" t="s">
        <v>3</v>
      </c>
      <c r="C1" s="328" t="s">
        <v>5</v>
      </c>
      <c r="D1" s="329" t="s">
        <v>6</v>
      </c>
      <c r="E1" s="328" t="s">
        <v>8</v>
      </c>
      <c r="F1" s="330" t="s">
        <v>203</v>
      </c>
      <c r="G1" s="328" t="s">
        <v>1</v>
      </c>
      <c r="H1" s="331" t="s">
        <v>7</v>
      </c>
      <c r="I1" s="330" t="s">
        <v>33</v>
      </c>
      <c r="J1" s="23"/>
      <c r="K1" s="23"/>
      <c r="L1"/>
    </row>
    <row r="2" spans="1:14" x14ac:dyDescent="0.25">
      <c r="A2" s="258" t="s">
        <v>15</v>
      </c>
      <c r="B2" s="253">
        <v>44953</v>
      </c>
      <c r="C2" s="39">
        <v>0.70833333333333337</v>
      </c>
      <c r="D2" s="124">
        <v>0.83333333333333337</v>
      </c>
      <c r="E2" s="39">
        <f>D2-C2</f>
        <v>0.125</v>
      </c>
      <c r="F2" s="259">
        <v>3</v>
      </c>
      <c r="G2" s="254">
        <f>F2</f>
        <v>3</v>
      </c>
      <c r="H2"/>
      <c r="I2" s="258"/>
      <c r="J2"/>
      <c r="K2"/>
      <c r="L2"/>
    </row>
    <row r="3" spans="1:14" s="42" customFormat="1" ht="15.75" customHeight="1" x14ac:dyDescent="0.25">
      <c r="A3" s="299" t="s">
        <v>55</v>
      </c>
      <c r="B3" s="123">
        <v>44987</v>
      </c>
      <c r="C3" s="39">
        <v>0.39583333333333331</v>
      </c>
      <c r="D3" s="124">
        <v>0.91666666666666663</v>
      </c>
      <c r="E3" s="39">
        <f>D3-C3</f>
        <v>0.52083333333333326</v>
      </c>
      <c r="F3" s="41">
        <v>12.5</v>
      </c>
      <c r="G3" s="40">
        <f t="shared" ref="G3:I16" si="0">F3</f>
        <v>12.5</v>
      </c>
      <c r="H3" s="40"/>
      <c r="I3" s="41"/>
      <c r="N3" s="49"/>
    </row>
    <row r="4" spans="1:14" s="42" customFormat="1" ht="15.75" customHeight="1" x14ac:dyDescent="0.25">
      <c r="A4" s="299" t="s">
        <v>55</v>
      </c>
      <c r="B4" s="123">
        <v>44988</v>
      </c>
      <c r="C4" s="39">
        <v>0.33333333333333331</v>
      </c>
      <c r="D4" s="124">
        <v>0.6875</v>
      </c>
      <c r="E4" s="39">
        <f>D4-C4</f>
        <v>0.35416666666666669</v>
      </c>
      <c r="F4" s="151">
        <v>8.5</v>
      </c>
      <c r="G4" s="40">
        <f t="shared" si="0"/>
        <v>8.5</v>
      </c>
      <c r="H4" s="40">
        <f>F4</f>
        <v>8.5</v>
      </c>
      <c r="I4" s="41">
        <f>F4</f>
        <v>8.5</v>
      </c>
      <c r="N4" s="49"/>
    </row>
    <row r="5" spans="1:14" s="42" customFormat="1" ht="15.75" customHeight="1" x14ac:dyDescent="0.25">
      <c r="A5" s="149" t="s">
        <v>55</v>
      </c>
      <c r="B5" s="123">
        <v>44993</v>
      </c>
      <c r="C5" s="39">
        <v>0.29166666666666669</v>
      </c>
      <c r="D5" s="139">
        <v>0.66666666666666663</v>
      </c>
      <c r="E5" s="39">
        <f>D5-C5</f>
        <v>0.37499999999999994</v>
      </c>
      <c r="F5" s="151">
        <v>9</v>
      </c>
      <c r="G5" s="40">
        <f t="shared" si="0"/>
        <v>9</v>
      </c>
      <c r="H5" s="40">
        <f>F5</f>
        <v>9</v>
      </c>
      <c r="I5" s="151">
        <f>F5</f>
        <v>9</v>
      </c>
      <c r="N5" s="49"/>
    </row>
    <row r="6" spans="1:14" s="42" customFormat="1" ht="15.75" customHeight="1" x14ac:dyDescent="0.25">
      <c r="A6" s="149" t="s">
        <v>114</v>
      </c>
      <c r="B6" s="123">
        <v>45091</v>
      </c>
      <c r="C6" s="39">
        <v>0.70833333333333337</v>
      </c>
      <c r="D6" s="139">
        <v>0.875</v>
      </c>
      <c r="E6" s="39">
        <f>D6-C6</f>
        <v>0.16666666666666663</v>
      </c>
      <c r="F6" s="151">
        <v>4</v>
      </c>
      <c r="G6" s="40">
        <f t="shared" si="0"/>
        <v>4</v>
      </c>
      <c r="H6" s="40"/>
      <c r="I6" s="151"/>
      <c r="N6" s="49"/>
    </row>
    <row r="7" spans="1:14" s="42" customFormat="1" ht="15.75" customHeight="1" x14ac:dyDescent="0.25">
      <c r="A7" s="149" t="s">
        <v>65</v>
      </c>
      <c r="B7" s="123">
        <v>45103</v>
      </c>
      <c r="C7" s="39">
        <v>0.3125</v>
      </c>
      <c r="D7" s="139">
        <v>0.95833333333333337</v>
      </c>
      <c r="E7" s="39">
        <f t="shared" ref="E7:E22" si="1">D7-C7</f>
        <v>0.64583333333333337</v>
      </c>
      <c r="F7" s="151">
        <v>15.5</v>
      </c>
      <c r="G7" s="40">
        <f t="shared" si="0"/>
        <v>15.5</v>
      </c>
      <c r="H7" s="40">
        <f t="shared" ref="H7" si="2">G7</f>
        <v>15.5</v>
      </c>
      <c r="I7" s="41">
        <f>H7</f>
        <v>15.5</v>
      </c>
      <c r="N7" s="49"/>
    </row>
    <row r="8" spans="1:14" x14ac:dyDescent="0.25">
      <c r="A8" s="149" t="s">
        <v>65</v>
      </c>
      <c r="B8" s="123">
        <v>45104</v>
      </c>
      <c r="C8" s="39">
        <v>0.3125</v>
      </c>
      <c r="D8" s="150">
        <v>0.60416666666666663</v>
      </c>
      <c r="E8" s="147">
        <f t="shared" si="1"/>
        <v>0.29166666666666663</v>
      </c>
      <c r="F8" s="152">
        <v>7</v>
      </c>
      <c r="G8" s="148">
        <f t="shared" si="0"/>
        <v>7</v>
      </c>
      <c r="H8" s="148">
        <f t="shared" ref="H8:I8" si="3">G8</f>
        <v>7</v>
      </c>
      <c r="I8" s="217">
        <f t="shared" si="3"/>
        <v>7</v>
      </c>
    </row>
    <row r="9" spans="1:14" x14ac:dyDescent="0.25">
      <c r="A9" s="219" t="s">
        <v>115</v>
      </c>
      <c r="B9" s="145">
        <v>45150</v>
      </c>
      <c r="C9" s="146">
        <v>0.3125</v>
      </c>
      <c r="D9" s="150">
        <v>0.77083333333333337</v>
      </c>
      <c r="E9" s="147">
        <f t="shared" si="1"/>
        <v>0.45833333333333337</v>
      </c>
      <c r="F9" s="152">
        <v>11</v>
      </c>
      <c r="G9" s="148">
        <f t="shared" si="0"/>
        <v>11</v>
      </c>
      <c r="H9" s="148">
        <f t="shared" ref="H9:I9" si="4">G9</f>
        <v>11</v>
      </c>
      <c r="I9" s="217">
        <f t="shared" si="4"/>
        <v>11</v>
      </c>
    </row>
    <row r="10" spans="1:14" s="15" customFormat="1" x14ac:dyDescent="0.25">
      <c r="A10" s="219" t="s">
        <v>116</v>
      </c>
      <c r="B10" s="145">
        <v>45177</v>
      </c>
      <c r="C10" s="146">
        <v>0.41666666666666669</v>
      </c>
      <c r="D10" s="150">
        <v>0.83333333333333337</v>
      </c>
      <c r="E10" s="147">
        <f t="shared" si="1"/>
        <v>0.41666666666666669</v>
      </c>
      <c r="F10" s="152">
        <v>10</v>
      </c>
      <c r="G10" s="216">
        <f t="shared" si="0"/>
        <v>10</v>
      </c>
      <c r="H10" s="216">
        <f t="shared" si="0"/>
        <v>10</v>
      </c>
      <c r="I10" s="220">
        <f t="shared" si="0"/>
        <v>10</v>
      </c>
    </row>
    <row r="11" spans="1:14" s="15" customFormat="1" x14ac:dyDescent="0.25">
      <c r="A11" s="149" t="s">
        <v>116</v>
      </c>
      <c r="B11" s="145">
        <v>45178</v>
      </c>
      <c r="C11" s="146">
        <v>0.33333333333333331</v>
      </c>
      <c r="D11" s="150">
        <v>0.625</v>
      </c>
      <c r="E11" s="147">
        <f t="shared" si="1"/>
        <v>0.29166666666666669</v>
      </c>
      <c r="F11" s="152">
        <v>7</v>
      </c>
      <c r="G11" s="148">
        <f t="shared" si="0"/>
        <v>7</v>
      </c>
      <c r="H11" s="148">
        <f t="shared" ref="H11:I17" si="5">G11</f>
        <v>7</v>
      </c>
      <c r="I11" s="217">
        <f t="shared" si="5"/>
        <v>7</v>
      </c>
    </row>
    <row r="12" spans="1:14" s="15" customFormat="1" x14ac:dyDescent="0.25">
      <c r="A12" s="149" t="s">
        <v>116</v>
      </c>
      <c r="B12" s="145">
        <v>45180</v>
      </c>
      <c r="C12" s="146">
        <v>0.33333333333333331</v>
      </c>
      <c r="D12" s="150">
        <v>0.79166666666666663</v>
      </c>
      <c r="E12" s="147">
        <f t="shared" si="1"/>
        <v>0.45833333333333331</v>
      </c>
      <c r="F12" s="152">
        <v>11</v>
      </c>
      <c r="G12" s="148">
        <f t="shared" si="0"/>
        <v>11</v>
      </c>
      <c r="H12" s="148">
        <f t="shared" si="5"/>
        <v>11</v>
      </c>
      <c r="I12" s="217">
        <f t="shared" si="5"/>
        <v>11</v>
      </c>
    </row>
    <row r="13" spans="1:14" s="15" customFormat="1" x14ac:dyDescent="0.25">
      <c r="A13" s="149" t="s">
        <v>116</v>
      </c>
      <c r="B13" s="145">
        <v>45181</v>
      </c>
      <c r="C13" s="146">
        <v>0.33333333333333331</v>
      </c>
      <c r="D13" s="150">
        <v>0.60416666666666663</v>
      </c>
      <c r="E13" s="147">
        <f t="shared" si="1"/>
        <v>0.27083333333333331</v>
      </c>
      <c r="F13" s="152">
        <v>6.5</v>
      </c>
      <c r="G13" s="148">
        <f t="shared" si="0"/>
        <v>6.5</v>
      </c>
      <c r="H13" s="148">
        <f t="shared" si="5"/>
        <v>6.5</v>
      </c>
      <c r="I13" s="217">
        <f t="shared" si="5"/>
        <v>6.5</v>
      </c>
    </row>
    <row r="14" spans="1:14" s="15" customFormat="1" x14ac:dyDescent="0.25">
      <c r="A14" s="300" t="s">
        <v>155</v>
      </c>
      <c r="B14" s="301">
        <v>45213</v>
      </c>
      <c r="C14" s="302">
        <v>0.75</v>
      </c>
      <c r="D14" s="303">
        <v>0.91666666666666663</v>
      </c>
      <c r="E14" s="147">
        <f t="shared" si="1"/>
        <v>0.16666666666666663</v>
      </c>
      <c r="F14" s="152">
        <v>4</v>
      </c>
      <c r="G14" s="148">
        <f t="shared" si="0"/>
        <v>4</v>
      </c>
      <c r="H14" s="148"/>
      <c r="I14" s="217"/>
    </row>
    <row r="15" spans="1:14" s="15" customFormat="1" x14ac:dyDescent="0.25">
      <c r="A15" s="149" t="s">
        <v>117</v>
      </c>
      <c r="B15" s="145">
        <v>45219</v>
      </c>
      <c r="C15" s="146">
        <v>0.32291666666666669</v>
      </c>
      <c r="D15" s="150">
        <v>0.83333333333333337</v>
      </c>
      <c r="E15" s="147">
        <f t="shared" si="1"/>
        <v>0.51041666666666674</v>
      </c>
      <c r="F15" s="152">
        <v>12.25</v>
      </c>
      <c r="G15" s="148">
        <f t="shared" si="0"/>
        <v>12.25</v>
      </c>
      <c r="H15" s="148">
        <f t="shared" si="5"/>
        <v>12.25</v>
      </c>
      <c r="I15" s="217">
        <f t="shared" si="5"/>
        <v>12.25</v>
      </c>
    </row>
    <row r="16" spans="1:14" s="15" customFormat="1" x14ac:dyDescent="0.25">
      <c r="A16" s="149" t="s">
        <v>117</v>
      </c>
      <c r="B16" s="145">
        <v>45220</v>
      </c>
      <c r="C16" s="146">
        <v>0.33333333333333331</v>
      </c>
      <c r="D16" s="150">
        <v>0.6875</v>
      </c>
      <c r="E16" s="147">
        <f t="shared" ref="E16:E21" si="6">D16-C16</f>
        <v>0.35416666666666669</v>
      </c>
      <c r="F16" s="152">
        <v>8.5</v>
      </c>
      <c r="G16" s="148">
        <f t="shared" si="0"/>
        <v>8.5</v>
      </c>
      <c r="H16" s="148">
        <f t="shared" si="5"/>
        <v>8.5</v>
      </c>
      <c r="I16" s="217">
        <f t="shared" si="5"/>
        <v>8.5</v>
      </c>
    </row>
    <row r="17" spans="1:9" s="15" customFormat="1" x14ac:dyDescent="0.25">
      <c r="A17" s="149" t="s">
        <v>118</v>
      </c>
      <c r="B17" s="145">
        <v>45247</v>
      </c>
      <c r="C17" s="146">
        <v>0.5</v>
      </c>
      <c r="D17" s="150">
        <v>0.79166666666666663</v>
      </c>
      <c r="E17" s="147">
        <f t="shared" si="6"/>
        <v>0.29166666666666663</v>
      </c>
      <c r="F17" s="152">
        <v>7</v>
      </c>
      <c r="G17" s="148"/>
      <c r="H17" s="148">
        <f>F17</f>
        <v>7</v>
      </c>
      <c r="I17" s="217">
        <f t="shared" si="5"/>
        <v>7</v>
      </c>
    </row>
    <row r="18" spans="1:9" s="15" customFormat="1" x14ac:dyDescent="0.25">
      <c r="A18" s="149" t="s">
        <v>194</v>
      </c>
      <c r="B18" s="145">
        <v>45252</v>
      </c>
      <c r="C18" s="146">
        <v>0.33333333333333331</v>
      </c>
      <c r="D18" s="150">
        <v>0.45833333333333331</v>
      </c>
      <c r="E18" s="147">
        <f t="shared" si="6"/>
        <v>0.125</v>
      </c>
      <c r="F18" s="152">
        <v>3</v>
      </c>
      <c r="G18" s="148">
        <f t="shared" ref="G18:G22" si="7">F18</f>
        <v>3</v>
      </c>
      <c r="H18" s="148"/>
      <c r="I18" s="217"/>
    </row>
    <row r="19" spans="1:9" s="15" customFormat="1" x14ac:dyDescent="0.25">
      <c r="A19" s="149" t="s">
        <v>191</v>
      </c>
      <c r="B19" s="145">
        <v>45258</v>
      </c>
      <c r="C19" s="146">
        <v>0.39583333333333331</v>
      </c>
      <c r="D19" s="150">
        <v>0.70833333333333337</v>
      </c>
      <c r="E19" s="147">
        <f t="shared" si="6"/>
        <v>0.31250000000000006</v>
      </c>
      <c r="F19" s="152">
        <v>7.5</v>
      </c>
      <c r="G19" s="148">
        <f t="shared" si="7"/>
        <v>7.5</v>
      </c>
      <c r="H19" s="148"/>
      <c r="I19" s="217"/>
    </row>
    <row r="20" spans="1:9" s="15" customFormat="1" x14ac:dyDescent="0.25">
      <c r="A20" s="149" t="s">
        <v>119</v>
      </c>
      <c r="B20" s="145">
        <v>45259</v>
      </c>
      <c r="C20" s="146">
        <v>0.5</v>
      </c>
      <c r="D20" s="150">
        <v>0.91666666666666663</v>
      </c>
      <c r="E20" s="147">
        <f t="shared" si="6"/>
        <v>0.41666666666666663</v>
      </c>
      <c r="F20" s="152">
        <v>10</v>
      </c>
      <c r="G20" s="148">
        <f t="shared" si="7"/>
        <v>10</v>
      </c>
      <c r="H20" s="148">
        <f t="shared" ref="H20:I21" si="8">G20</f>
        <v>10</v>
      </c>
      <c r="I20" s="217">
        <f t="shared" si="8"/>
        <v>10</v>
      </c>
    </row>
    <row r="21" spans="1:9" s="15" customFormat="1" x14ac:dyDescent="0.25">
      <c r="A21" s="149" t="s">
        <v>119</v>
      </c>
      <c r="B21" s="145">
        <v>45260</v>
      </c>
      <c r="C21" s="146">
        <v>0.33333333333333331</v>
      </c>
      <c r="D21" s="150">
        <v>0.58333333333333337</v>
      </c>
      <c r="E21" s="147">
        <f t="shared" si="6"/>
        <v>0.25000000000000006</v>
      </c>
      <c r="F21" s="152">
        <v>6</v>
      </c>
      <c r="G21" s="148">
        <f t="shared" si="7"/>
        <v>6</v>
      </c>
      <c r="H21" s="148">
        <f t="shared" si="8"/>
        <v>6</v>
      </c>
      <c r="I21" s="217">
        <f t="shared" si="8"/>
        <v>6</v>
      </c>
    </row>
    <row r="22" spans="1:9" s="24" customFormat="1" ht="15.75" thickBot="1" x14ac:dyDescent="0.3">
      <c r="A22" s="219" t="s">
        <v>192</v>
      </c>
      <c r="B22" s="145">
        <v>45274</v>
      </c>
      <c r="C22" s="146">
        <v>0.375</v>
      </c>
      <c r="D22" s="297">
        <v>0.75</v>
      </c>
      <c r="E22" s="147">
        <f t="shared" si="1"/>
        <v>0.375</v>
      </c>
      <c r="F22" s="217">
        <v>9</v>
      </c>
      <c r="G22" s="148">
        <f t="shared" si="7"/>
        <v>9</v>
      </c>
      <c r="H22" s="148"/>
      <c r="I22" s="217"/>
    </row>
    <row r="23" spans="1:9" s="15" customFormat="1" ht="15.75" thickBot="1" x14ac:dyDescent="0.3">
      <c r="A23" s="126" t="s">
        <v>24</v>
      </c>
      <c r="B23" s="111"/>
      <c r="C23" s="111"/>
      <c r="D23" s="109"/>
      <c r="E23" s="111"/>
      <c r="F23" s="109"/>
      <c r="G23" s="112">
        <f>SUM(G3:G21)</f>
        <v>153.25</v>
      </c>
      <c r="H23" s="112">
        <f>SUM(H3:H21)</f>
        <v>129.25</v>
      </c>
      <c r="I23" s="113">
        <f>SUM(I3:I21)</f>
        <v>129.25</v>
      </c>
    </row>
    <row r="24" spans="1:9" s="15" customFormat="1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s="15" customFormat="1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s="15" customFormat="1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s="15" customFormat="1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s="15" customFormat="1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s="15" customFormat="1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s="15" customFormat="1" x14ac:dyDescent="0.25">
      <c r="A30" s="3"/>
      <c r="B30" s="3"/>
      <c r="C30" s="3"/>
      <c r="D30" s="3"/>
      <c r="E30" s="3"/>
      <c r="F30" s="3"/>
      <c r="G30" s="3"/>
      <c r="H30" s="3"/>
      <c r="I30" s="3"/>
    </row>
    <row r="32" spans="1:9" s="11" customFormat="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s="19" customFormat="1" x14ac:dyDescent="0.25">
      <c r="A33" s="3"/>
      <c r="B33" s="3"/>
      <c r="C33" s="3"/>
      <c r="D33" s="3"/>
      <c r="E33" s="3"/>
      <c r="F33" s="3"/>
      <c r="G33" s="3"/>
      <c r="H33" s="3"/>
      <c r="I33" s="3"/>
    </row>
  </sheetData>
  <pageMargins left="0.7" right="0.7" top="0.78740157499999996" bottom="0.78740157499999996" header="0.3" footer="0.3"/>
  <pageSetup paperSize="9" orientation="portrait" r:id="rId1"/>
  <ignoredErrors>
    <ignoredError sqref="H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5" x14ac:dyDescent="0.25"/>
  <cols>
    <col min="1" max="1" width="43.85546875" style="3" customWidth="1"/>
    <col min="2" max="2" width="15.28515625" style="128" customWidth="1"/>
    <col min="3" max="5" width="11.5703125" style="3" customWidth="1"/>
    <col min="6" max="6" width="14" style="3" customWidth="1"/>
    <col min="7" max="12" width="15.42578125" style="3" customWidth="1"/>
    <col min="13" max="13" width="18.85546875" customWidth="1"/>
  </cols>
  <sheetData>
    <row r="1" spans="1:14" ht="39.75" thickBot="1" x14ac:dyDescent="0.35">
      <c r="A1" s="48" t="s">
        <v>57</v>
      </c>
      <c r="B1" s="93" t="s">
        <v>84</v>
      </c>
      <c r="C1" s="319" t="s">
        <v>5</v>
      </c>
      <c r="D1" s="325" t="s">
        <v>6</v>
      </c>
      <c r="E1" s="319" t="s">
        <v>8</v>
      </c>
      <c r="F1" s="326" t="s">
        <v>203</v>
      </c>
      <c r="G1" s="319" t="s">
        <v>1</v>
      </c>
      <c r="H1" s="327" t="s">
        <v>7</v>
      </c>
      <c r="I1" s="326" t="s">
        <v>33</v>
      </c>
      <c r="J1" s="50"/>
      <c r="K1" s="50"/>
      <c r="L1" s="50"/>
      <c r="M1" s="23"/>
      <c r="N1" s="23"/>
    </row>
    <row r="2" spans="1:14" ht="15.75" thickTop="1" x14ac:dyDescent="0.25">
      <c r="A2" s="304" t="s">
        <v>162</v>
      </c>
      <c r="B2" s="305">
        <v>45000</v>
      </c>
      <c r="C2" s="306">
        <v>0.33333333333333331</v>
      </c>
      <c r="D2" s="307">
        <v>0.375</v>
      </c>
      <c r="E2" s="22">
        <f t="shared" ref="E2:E8" si="0">D2-C2</f>
        <v>4.1666666666666685E-2</v>
      </c>
      <c r="F2" s="308">
        <v>1</v>
      </c>
      <c r="G2" s="309">
        <f>F2</f>
        <v>1</v>
      </c>
      <c r="H2" s="310"/>
      <c r="I2" s="304"/>
      <c r="J2" s="15"/>
      <c r="K2"/>
      <c r="L2"/>
    </row>
    <row r="3" spans="1:14" x14ac:dyDescent="0.25">
      <c r="A3" s="311" t="s">
        <v>156</v>
      </c>
      <c r="B3" s="305">
        <v>45084</v>
      </c>
      <c r="C3" s="306">
        <v>0.33333333333333331</v>
      </c>
      <c r="D3" s="312">
        <v>0.375</v>
      </c>
      <c r="E3" s="22">
        <f t="shared" si="0"/>
        <v>4.1666666666666685E-2</v>
      </c>
      <c r="F3" s="313">
        <v>1</v>
      </c>
      <c r="G3" s="309">
        <f>F3</f>
        <v>1</v>
      </c>
      <c r="H3" s="310"/>
      <c r="I3" s="311"/>
      <c r="J3" s="15"/>
      <c r="K3"/>
      <c r="L3"/>
    </row>
    <row r="4" spans="1:14" s="24" customFormat="1" x14ac:dyDescent="0.25">
      <c r="A4" s="221" t="s">
        <v>113</v>
      </c>
      <c r="B4" s="127">
        <v>45096</v>
      </c>
      <c r="C4" s="22">
        <v>0.375</v>
      </c>
      <c r="D4" s="129">
        <v>0.95833333333333337</v>
      </c>
      <c r="E4" s="22">
        <f t="shared" si="0"/>
        <v>0.58333333333333337</v>
      </c>
      <c r="F4" s="130">
        <v>14</v>
      </c>
      <c r="G4" s="16">
        <f t="shared" ref="G4:I8" si="1">F4</f>
        <v>14</v>
      </c>
      <c r="H4" s="16">
        <f t="shared" si="1"/>
        <v>14</v>
      </c>
      <c r="I4" s="130">
        <f t="shared" si="1"/>
        <v>14</v>
      </c>
    </row>
    <row r="5" spans="1:14" s="24" customFormat="1" x14ac:dyDescent="0.25">
      <c r="A5" s="221" t="s">
        <v>112</v>
      </c>
      <c r="B5" s="127">
        <v>45097</v>
      </c>
      <c r="C5" s="22">
        <v>0.33333333333333331</v>
      </c>
      <c r="D5" s="129">
        <v>0.58333333333333337</v>
      </c>
      <c r="E5" s="22">
        <f t="shared" si="0"/>
        <v>0.25000000000000006</v>
      </c>
      <c r="F5" s="130">
        <v>6</v>
      </c>
      <c r="G5" s="16">
        <f t="shared" ref="G5:G10" si="2">F5</f>
        <v>6</v>
      </c>
      <c r="H5" s="16">
        <f t="shared" si="1"/>
        <v>6</v>
      </c>
      <c r="I5" s="130">
        <f t="shared" si="1"/>
        <v>6</v>
      </c>
      <c r="J5" s="29"/>
    </row>
    <row r="6" spans="1:14" s="24" customFormat="1" x14ac:dyDescent="0.25">
      <c r="A6" s="221" t="s">
        <v>157</v>
      </c>
      <c r="B6" s="127">
        <v>45091</v>
      </c>
      <c r="C6" s="22">
        <v>0.64583333333333337</v>
      </c>
      <c r="D6" s="129">
        <v>0.70833333333333337</v>
      </c>
      <c r="E6" s="22">
        <f t="shared" si="0"/>
        <v>6.25E-2</v>
      </c>
      <c r="F6" s="130">
        <v>1.5</v>
      </c>
      <c r="G6" s="16">
        <f t="shared" si="2"/>
        <v>1.5</v>
      </c>
      <c r="H6" s="16">
        <f t="shared" si="1"/>
        <v>1.5</v>
      </c>
      <c r="I6" s="130">
        <f t="shared" si="1"/>
        <v>1.5</v>
      </c>
      <c r="J6" s="29"/>
    </row>
    <row r="7" spans="1:14" s="24" customFormat="1" ht="17.25" customHeight="1" x14ac:dyDescent="0.25">
      <c r="A7" s="149" t="s">
        <v>194</v>
      </c>
      <c r="B7" s="145">
        <v>45252</v>
      </c>
      <c r="C7" s="146">
        <v>0.33333333333333331</v>
      </c>
      <c r="D7" s="150">
        <v>0.45833333333333331</v>
      </c>
      <c r="E7" s="147">
        <f>D7-C7</f>
        <v>0.125</v>
      </c>
      <c r="F7" s="152">
        <v>3</v>
      </c>
      <c r="G7" s="148">
        <f t="shared" si="2"/>
        <v>3</v>
      </c>
      <c r="H7" s="148"/>
      <c r="I7" s="217"/>
      <c r="J7" s="29"/>
    </row>
    <row r="8" spans="1:14" s="24" customFormat="1" x14ac:dyDescent="0.25">
      <c r="A8" s="44" t="s">
        <v>66</v>
      </c>
      <c r="B8" s="94">
        <v>45098</v>
      </c>
      <c r="C8" s="13">
        <v>0.52083333333333337</v>
      </c>
      <c r="D8" s="116">
        <v>0.97916666666666663</v>
      </c>
      <c r="E8" s="22">
        <f t="shared" si="0"/>
        <v>0.45833333333333326</v>
      </c>
      <c r="F8" s="33">
        <v>11</v>
      </c>
      <c r="G8" s="14">
        <f t="shared" si="2"/>
        <v>11</v>
      </c>
      <c r="H8" s="14">
        <f t="shared" si="1"/>
        <v>11</v>
      </c>
      <c r="I8" s="33">
        <f t="shared" si="1"/>
        <v>11</v>
      </c>
    </row>
    <row r="9" spans="1:14" s="24" customFormat="1" x14ac:dyDescent="0.25">
      <c r="A9" s="223" t="s">
        <v>121</v>
      </c>
      <c r="B9" s="94">
        <v>45273</v>
      </c>
      <c r="C9" s="13">
        <v>0.75</v>
      </c>
      <c r="D9" s="116">
        <v>0.79166666666666663</v>
      </c>
      <c r="E9" s="22">
        <f>D9-C9</f>
        <v>4.166666666666663E-2</v>
      </c>
      <c r="F9" s="33">
        <v>1</v>
      </c>
      <c r="G9" s="222">
        <f t="shared" si="2"/>
        <v>1</v>
      </c>
      <c r="H9" s="14"/>
      <c r="I9" s="36"/>
    </row>
    <row r="10" spans="1:14" s="24" customFormat="1" ht="15.75" thickBot="1" x14ac:dyDescent="0.3">
      <c r="A10" s="219" t="s">
        <v>193</v>
      </c>
      <c r="B10" s="145">
        <v>45278</v>
      </c>
      <c r="C10" s="146">
        <v>0.58333333333333337</v>
      </c>
      <c r="D10" s="298">
        <v>0.60416666666666663</v>
      </c>
      <c r="E10" s="147">
        <f t="shared" ref="E10" si="3">D10-C10</f>
        <v>2.0833333333333259E-2</v>
      </c>
      <c r="F10" s="217">
        <v>0.5</v>
      </c>
      <c r="G10" s="148">
        <f t="shared" si="2"/>
        <v>0.5</v>
      </c>
      <c r="H10" s="148"/>
      <c r="I10" s="218"/>
    </row>
    <row r="11" spans="1:14" s="15" customFormat="1" ht="15.75" thickBot="1" x14ac:dyDescent="0.3">
      <c r="A11" s="109" t="s">
        <v>24</v>
      </c>
      <c r="B11" s="224"/>
      <c r="C11" s="111"/>
      <c r="D11" s="109"/>
      <c r="E11" s="225"/>
      <c r="F11" s="109"/>
      <c r="G11" s="112">
        <f>SUM(G4:G9)</f>
        <v>36.5</v>
      </c>
      <c r="H11" s="112">
        <f>SUM(H4:H9)</f>
        <v>32.5</v>
      </c>
      <c r="I11" s="113">
        <f>SUM(I4:I9)</f>
        <v>32.5</v>
      </c>
      <c r="J11" s="131"/>
    </row>
    <row r="12" spans="1:14" s="15" customFormat="1" x14ac:dyDescent="0.25">
      <c r="A12" s="3"/>
      <c r="B12" s="128"/>
      <c r="C12" s="3"/>
      <c r="D12" s="3"/>
      <c r="E12" s="22"/>
      <c r="F12" s="3"/>
      <c r="G12" s="3"/>
      <c r="H12" s="3"/>
      <c r="I12" s="3"/>
      <c r="J12" s="3"/>
      <c r="K12" s="3"/>
      <c r="L12" s="3"/>
    </row>
    <row r="13" spans="1:14" s="15" customFormat="1" x14ac:dyDescent="0.25">
      <c r="A13" s="3"/>
      <c r="B13" s="128"/>
      <c r="C13" s="3"/>
      <c r="D13" s="3"/>
      <c r="E13" s="22"/>
      <c r="F13" s="3"/>
      <c r="G13" s="3"/>
      <c r="H13" s="3"/>
      <c r="I13" s="3"/>
      <c r="J13" s="3"/>
      <c r="K13" s="3"/>
      <c r="L13" s="3"/>
    </row>
    <row r="14" spans="1:14" s="24" customFormat="1" x14ac:dyDescent="0.25">
      <c r="A14" s="3"/>
      <c r="B14" s="128"/>
      <c r="C14" s="3"/>
      <c r="D14" s="3"/>
      <c r="E14" s="22"/>
      <c r="F14" s="3"/>
      <c r="G14" s="3"/>
      <c r="H14" s="3"/>
      <c r="I14" s="3"/>
      <c r="J14" s="3"/>
      <c r="K14" s="3"/>
      <c r="L14" s="3"/>
    </row>
    <row r="15" spans="1:14" s="15" customFormat="1" x14ac:dyDescent="0.25">
      <c r="A15" s="3"/>
      <c r="B15" s="128"/>
      <c r="C15" s="3"/>
      <c r="D15" s="3"/>
      <c r="E15" s="22"/>
      <c r="F15" s="3"/>
      <c r="G15" s="3"/>
      <c r="H15" s="3"/>
      <c r="I15" s="3"/>
      <c r="J15" s="3"/>
      <c r="K15" s="3"/>
      <c r="L15" s="3"/>
    </row>
    <row r="16" spans="1:14" s="15" customFormat="1" x14ac:dyDescent="0.25">
      <c r="A16" s="3"/>
      <c r="B16" s="128"/>
      <c r="C16" s="3"/>
      <c r="D16" s="3"/>
      <c r="E16" s="22"/>
      <c r="F16" s="3"/>
      <c r="G16" s="3"/>
      <c r="H16" s="3"/>
      <c r="I16" s="3"/>
      <c r="J16" s="3"/>
      <c r="K16" s="3"/>
      <c r="L16" s="3"/>
    </row>
    <row r="17" spans="1:12" s="15" customFormat="1" x14ac:dyDescent="0.25">
      <c r="A17" s="3"/>
      <c r="B17" s="128"/>
      <c r="C17" s="3"/>
      <c r="D17" s="3"/>
      <c r="E17" s="22"/>
      <c r="F17" s="3"/>
      <c r="G17" s="3"/>
      <c r="H17" s="3"/>
      <c r="I17" s="3"/>
      <c r="J17" s="3"/>
      <c r="K17" s="3"/>
      <c r="L17" s="3"/>
    </row>
    <row r="18" spans="1:12" s="24" customFormat="1" x14ac:dyDescent="0.25">
      <c r="A18" s="3"/>
      <c r="B18" s="128"/>
      <c r="C18" s="3"/>
      <c r="D18" s="3"/>
      <c r="E18" s="22"/>
      <c r="F18" s="3"/>
      <c r="G18" s="3"/>
      <c r="H18" s="3"/>
      <c r="I18" s="3"/>
      <c r="J18" s="3"/>
      <c r="K18" s="3"/>
      <c r="L18" s="3"/>
    </row>
    <row r="19" spans="1:12" s="15" customFormat="1" x14ac:dyDescent="0.25">
      <c r="A19" s="3"/>
      <c r="B19" s="128"/>
      <c r="C19" s="3"/>
      <c r="D19" s="3"/>
      <c r="E19" s="22"/>
      <c r="F19" s="3"/>
      <c r="G19" s="3"/>
      <c r="H19" s="3"/>
      <c r="I19" s="3"/>
      <c r="J19" s="3"/>
      <c r="K19" s="3"/>
      <c r="L19" s="3"/>
    </row>
    <row r="20" spans="1:12" s="15" customFormat="1" x14ac:dyDescent="0.25">
      <c r="A20" s="3"/>
      <c r="B20" s="128"/>
      <c r="C20" s="3"/>
      <c r="D20" s="3"/>
      <c r="E20" s="22"/>
      <c r="F20" s="3"/>
      <c r="G20" s="3"/>
      <c r="H20" s="3"/>
      <c r="I20" s="3"/>
      <c r="J20" s="3"/>
      <c r="K20" s="3"/>
      <c r="L20" s="3"/>
    </row>
    <row r="21" spans="1:12" s="24" customFormat="1" x14ac:dyDescent="0.25">
      <c r="A21" s="3"/>
      <c r="B21" s="128"/>
      <c r="C21" s="3"/>
      <c r="D21" s="3"/>
      <c r="E21" s="22"/>
      <c r="F21" s="3"/>
      <c r="G21" s="3"/>
      <c r="H21" s="3"/>
      <c r="I21" s="3"/>
      <c r="J21" s="3"/>
      <c r="K21" s="3"/>
      <c r="L21" s="3"/>
    </row>
    <row r="22" spans="1:12" s="15" customFormat="1" x14ac:dyDescent="0.25">
      <c r="A22" s="3"/>
      <c r="B22" s="128"/>
      <c r="C22" s="3"/>
      <c r="D22" s="3"/>
      <c r="E22" s="22"/>
      <c r="F22" s="3"/>
      <c r="G22" s="3"/>
      <c r="H22" s="3"/>
      <c r="I22" s="3"/>
      <c r="J22" s="3"/>
      <c r="K22" s="3"/>
      <c r="L22" s="3"/>
    </row>
    <row r="23" spans="1:12" s="11" customFormat="1" x14ac:dyDescent="0.25">
      <c r="A23" s="3"/>
      <c r="B23" s="128"/>
      <c r="C23" s="3"/>
      <c r="D23" s="3"/>
      <c r="E23" s="22"/>
      <c r="F23" s="3"/>
      <c r="G23" s="3"/>
      <c r="H23" s="3"/>
      <c r="I23" s="3"/>
      <c r="J23" s="3"/>
      <c r="K23" s="3"/>
      <c r="L23" s="3"/>
    </row>
    <row r="24" spans="1:12" s="11" customFormat="1" x14ac:dyDescent="0.25">
      <c r="A24" s="3"/>
      <c r="B24" s="128"/>
      <c r="C24" s="3"/>
      <c r="D24" s="3"/>
      <c r="E24" s="22"/>
      <c r="F24" s="3"/>
      <c r="G24" s="3"/>
      <c r="H24" s="3"/>
      <c r="I24" s="3"/>
      <c r="J24" s="3"/>
      <c r="K24" s="3"/>
      <c r="L24" s="3"/>
    </row>
    <row r="25" spans="1:12" s="27" customFormat="1" x14ac:dyDescent="0.25">
      <c r="A25" s="3"/>
      <c r="B25" s="128"/>
      <c r="C25" s="3"/>
      <c r="D25" s="3"/>
      <c r="E25" s="22"/>
      <c r="F25" s="3"/>
      <c r="G25" s="3"/>
      <c r="H25" s="3"/>
      <c r="I25" s="3"/>
      <c r="J25" s="3"/>
      <c r="K25" s="3"/>
      <c r="L25" s="3"/>
    </row>
    <row r="26" spans="1:12" x14ac:dyDescent="0.25">
      <c r="E26" s="22"/>
    </row>
    <row r="27" spans="1:12" x14ac:dyDescent="0.25">
      <c r="E27" s="22"/>
    </row>
    <row r="28" spans="1:12" x14ac:dyDescent="0.25">
      <c r="E28" s="22"/>
    </row>
    <row r="29" spans="1:12" x14ac:dyDescent="0.25">
      <c r="E29" s="22"/>
    </row>
    <row r="30" spans="1:12" x14ac:dyDescent="0.25">
      <c r="E30" s="22"/>
    </row>
    <row r="31" spans="1:12" x14ac:dyDescent="0.25">
      <c r="E31" s="22"/>
    </row>
    <row r="32" spans="1:12" x14ac:dyDescent="0.25">
      <c r="E32" s="22"/>
    </row>
    <row r="33" spans="5:5" x14ac:dyDescent="0.25">
      <c r="E33" s="22"/>
    </row>
    <row r="34" spans="5:5" x14ac:dyDescent="0.25">
      <c r="E34" s="22"/>
    </row>
    <row r="35" spans="5:5" x14ac:dyDescent="0.25">
      <c r="E35" s="22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5"/>
  <sheetViews>
    <sheetView zoomScale="90" zoomScaleNormal="90" workbookViewId="0">
      <pane xSplit="4" ySplit="8" topLeftCell="E57" activePane="bottomRight" state="frozen"/>
      <selection pane="topRight" activeCell="F1" sqref="F1"/>
      <selection pane="bottomLeft" activeCell="A19" sqref="A19"/>
      <selection pane="bottomRight" activeCell="L76" sqref="L76"/>
    </sheetView>
  </sheetViews>
  <sheetFormatPr baseColWidth="10" defaultRowHeight="15" x14ac:dyDescent="0.25"/>
  <cols>
    <col min="1" max="1" width="36.42578125" style="3" customWidth="1"/>
    <col min="2" max="2" width="11.140625" style="3" customWidth="1"/>
    <col min="3" max="5" width="11.5703125" style="3" customWidth="1"/>
    <col min="6" max="6" width="11.5703125" style="21" customWidth="1"/>
    <col min="7" max="7" width="14" style="5" customWidth="1"/>
    <col min="8" max="8" width="11.85546875" style="21" customWidth="1"/>
    <col min="9" max="11" width="11.85546875" style="3" customWidth="1"/>
    <col min="12" max="12" width="13.140625" style="5" customWidth="1"/>
    <col min="13" max="18" width="11.85546875" style="3" customWidth="1"/>
    <col min="19" max="19" width="13.42578125" customWidth="1"/>
    <col min="21" max="21" width="14.42578125" customWidth="1"/>
  </cols>
  <sheetData>
    <row r="1" spans="1:22" ht="20.25" thickBot="1" x14ac:dyDescent="0.35">
      <c r="A1" s="6"/>
      <c r="B1" s="7"/>
      <c r="C1" s="7"/>
      <c r="D1" s="7"/>
      <c r="E1" s="7"/>
      <c r="F1" s="20"/>
      <c r="G1" s="8"/>
      <c r="I1" s="284" t="s">
        <v>20</v>
      </c>
      <c r="J1" s="284"/>
      <c r="K1" s="37"/>
      <c r="L1"/>
      <c r="M1"/>
      <c r="N1"/>
      <c r="O1"/>
      <c r="P1"/>
      <c r="Q1"/>
      <c r="R1"/>
    </row>
    <row r="2" spans="1:22" ht="59.25" thickBot="1" x14ac:dyDescent="0.35">
      <c r="A2" s="276" t="s">
        <v>2</v>
      </c>
      <c r="B2" s="1" t="s">
        <v>84</v>
      </c>
      <c r="C2" s="319" t="s">
        <v>5</v>
      </c>
      <c r="D2" s="320" t="s">
        <v>6</v>
      </c>
      <c r="E2" s="319" t="s">
        <v>8</v>
      </c>
      <c r="F2" s="323" t="s">
        <v>203</v>
      </c>
      <c r="G2" s="321" t="s">
        <v>12</v>
      </c>
      <c r="H2" s="322" t="s">
        <v>1</v>
      </c>
      <c r="I2" s="323" t="s">
        <v>7</v>
      </c>
      <c r="J2" s="324" t="s">
        <v>33</v>
      </c>
      <c r="L2"/>
      <c r="M2"/>
      <c r="N2"/>
      <c r="O2"/>
      <c r="P2"/>
      <c r="Q2"/>
      <c r="R2"/>
    </row>
    <row r="3" spans="1:22" ht="15.75" thickTop="1" x14ac:dyDescent="0.25">
      <c r="A3" s="180" t="s">
        <v>15</v>
      </c>
      <c r="B3" s="140" t="s">
        <v>14</v>
      </c>
      <c r="C3" s="266">
        <v>0.41666666666666669</v>
      </c>
      <c r="D3" s="195">
        <v>0.54166666666666663</v>
      </c>
      <c r="E3" s="141">
        <f>D3-C3</f>
        <v>0.12499999999999994</v>
      </c>
      <c r="F3" s="267">
        <v>3</v>
      </c>
      <c r="G3" s="279">
        <v>16</v>
      </c>
      <c r="H3" s="142">
        <f>G3*F3</f>
        <v>48</v>
      </c>
      <c r="I3" s="265"/>
      <c r="J3" s="279"/>
      <c r="K3"/>
      <c r="L3"/>
      <c r="M3"/>
      <c r="N3"/>
      <c r="O3"/>
      <c r="P3"/>
      <c r="Q3"/>
      <c r="R3"/>
    </row>
    <row r="4" spans="1:22" s="15" customFormat="1" x14ac:dyDescent="0.25">
      <c r="A4" s="180" t="s">
        <v>15</v>
      </c>
      <c r="B4" s="140" t="s">
        <v>14</v>
      </c>
      <c r="C4" s="141">
        <v>0.4375</v>
      </c>
      <c r="D4" s="181">
        <v>0.5</v>
      </c>
      <c r="E4" s="141">
        <f>D4-C4</f>
        <v>6.25E-2</v>
      </c>
      <c r="F4" s="142">
        <v>1.5</v>
      </c>
      <c r="G4" s="280">
        <v>40</v>
      </c>
      <c r="H4" s="142">
        <f>G4*F4</f>
        <v>60</v>
      </c>
      <c r="I4" s="144"/>
      <c r="J4" s="285"/>
    </row>
    <row r="5" spans="1:22" s="15" customFormat="1" x14ac:dyDescent="0.25">
      <c r="A5" s="180" t="s">
        <v>15</v>
      </c>
      <c r="B5" s="140" t="s">
        <v>14</v>
      </c>
      <c r="C5" s="141">
        <v>0.45833333333333331</v>
      </c>
      <c r="D5" s="181">
        <v>0.5</v>
      </c>
      <c r="E5" s="141">
        <f t="shared" ref="E5:E12" si="0">D5-C5</f>
        <v>4.1666666666666685E-2</v>
      </c>
      <c r="F5" s="142">
        <v>1</v>
      </c>
      <c r="G5" s="280">
        <v>1</v>
      </c>
      <c r="H5" s="142">
        <f>G5*F5</f>
        <v>1</v>
      </c>
      <c r="I5" s="144"/>
      <c r="J5" s="285"/>
    </row>
    <row r="6" spans="1:22" s="15" customFormat="1" x14ac:dyDescent="0.25">
      <c r="A6" s="180" t="s">
        <v>76</v>
      </c>
      <c r="B6" s="140" t="s">
        <v>14</v>
      </c>
      <c r="C6" s="141">
        <v>0.5</v>
      </c>
      <c r="D6" s="181">
        <v>0.54166666666666663</v>
      </c>
      <c r="E6" s="141">
        <f>D6-C6</f>
        <v>4.166666666666663E-2</v>
      </c>
      <c r="F6" s="142">
        <v>1</v>
      </c>
      <c r="G6" s="280">
        <v>4</v>
      </c>
      <c r="H6" s="142">
        <f>G6*F6</f>
        <v>4</v>
      </c>
      <c r="I6" s="144"/>
      <c r="J6" s="285"/>
    </row>
    <row r="7" spans="1:22" s="15" customFormat="1" x14ac:dyDescent="0.25">
      <c r="A7" s="180" t="s">
        <v>17</v>
      </c>
      <c r="B7" s="140" t="s">
        <v>14</v>
      </c>
      <c r="C7" s="141">
        <v>0.4375</v>
      </c>
      <c r="D7" s="181">
        <v>0.54166666666666663</v>
      </c>
      <c r="E7" s="141">
        <f t="shared" ref="E7" si="1">D7-C7</f>
        <v>0.10416666666666663</v>
      </c>
      <c r="F7" s="142">
        <v>2.5</v>
      </c>
      <c r="G7" s="280">
        <v>51</v>
      </c>
      <c r="H7" s="142"/>
      <c r="I7" s="144">
        <f>(G7*F7)</f>
        <v>127.5</v>
      </c>
      <c r="J7" s="285"/>
    </row>
    <row r="8" spans="1:22" s="15" customFormat="1" x14ac:dyDescent="0.25">
      <c r="A8" s="180" t="s">
        <v>190</v>
      </c>
      <c r="B8" s="140" t="s">
        <v>14</v>
      </c>
      <c r="C8" s="141">
        <v>0.5</v>
      </c>
      <c r="D8" s="181">
        <v>0.54166666666666663</v>
      </c>
      <c r="E8" s="141">
        <f t="shared" si="0"/>
        <v>4.166666666666663E-2</v>
      </c>
      <c r="F8" s="142">
        <v>1</v>
      </c>
      <c r="G8" s="280">
        <v>64</v>
      </c>
      <c r="H8" s="142">
        <f>F8*G8</f>
        <v>64</v>
      </c>
      <c r="I8" s="144"/>
      <c r="J8" s="285"/>
      <c r="V8" s="176"/>
    </row>
    <row r="9" spans="1:22" s="15" customFormat="1" x14ac:dyDescent="0.25">
      <c r="A9" s="180" t="s">
        <v>166</v>
      </c>
      <c r="B9" s="140">
        <v>44935</v>
      </c>
      <c r="C9" s="141">
        <v>0.39583333333333331</v>
      </c>
      <c r="D9" s="181">
        <v>0.5</v>
      </c>
      <c r="E9" s="141">
        <f t="shared" si="0"/>
        <v>0.10416666666666669</v>
      </c>
      <c r="F9" s="142">
        <v>2.5</v>
      </c>
      <c r="G9" s="280">
        <v>1</v>
      </c>
      <c r="H9" s="142">
        <f>F9*G9</f>
        <v>2.5</v>
      </c>
      <c r="I9" s="144"/>
      <c r="J9" s="285"/>
      <c r="V9" s="176"/>
    </row>
    <row r="10" spans="1:22" s="15" customFormat="1" x14ac:dyDescent="0.25">
      <c r="A10" s="180" t="s">
        <v>166</v>
      </c>
      <c r="B10" s="140">
        <v>44990</v>
      </c>
      <c r="C10" s="141">
        <v>0.41666666666666669</v>
      </c>
      <c r="D10" s="181">
        <v>0.4375</v>
      </c>
      <c r="E10" s="141">
        <f t="shared" si="0"/>
        <v>2.0833333333333315E-2</v>
      </c>
      <c r="F10" s="142">
        <v>0.5</v>
      </c>
      <c r="G10" s="280">
        <v>1</v>
      </c>
      <c r="H10" s="142">
        <f t="shared" ref="H10:H13" si="2">F10*G10</f>
        <v>0.5</v>
      </c>
      <c r="I10" s="144"/>
      <c r="J10" s="285"/>
      <c r="V10" s="176"/>
    </row>
    <row r="11" spans="1:22" s="15" customFormat="1" x14ac:dyDescent="0.25">
      <c r="A11" s="180" t="s">
        <v>167</v>
      </c>
      <c r="B11" s="140" t="s">
        <v>14</v>
      </c>
      <c r="C11" s="141">
        <v>0.35416666666666669</v>
      </c>
      <c r="D11" s="181">
        <v>0.5</v>
      </c>
      <c r="E11" s="141">
        <f t="shared" si="0"/>
        <v>0.14583333333333331</v>
      </c>
      <c r="F11" s="142">
        <v>3.5</v>
      </c>
      <c r="G11" s="280">
        <v>3</v>
      </c>
      <c r="H11" s="142">
        <f t="shared" si="2"/>
        <v>10.5</v>
      </c>
      <c r="I11" s="144"/>
      <c r="J11" s="285"/>
      <c r="V11" s="176"/>
    </row>
    <row r="12" spans="1:22" s="15" customFormat="1" x14ac:dyDescent="0.25">
      <c r="A12" s="180" t="s">
        <v>167</v>
      </c>
      <c r="B12" s="140" t="s">
        <v>14</v>
      </c>
      <c r="C12" s="141">
        <v>0.375</v>
      </c>
      <c r="D12" s="181">
        <v>0.5</v>
      </c>
      <c r="E12" s="141">
        <f t="shared" si="0"/>
        <v>0.125</v>
      </c>
      <c r="F12" s="142">
        <v>3</v>
      </c>
      <c r="G12" s="280">
        <v>3</v>
      </c>
      <c r="H12" s="142">
        <f t="shared" si="2"/>
        <v>9</v>
      </c>
      <c r="I12" s="144"/>
      <c r="J12" s="285"/>
      <c r="V12" s="176"/>
    </row>
    <row r="13" spans="1:22" s="15" customFormat="1" x14ac:dyDescent="0.25">
      <c r="A13" s="180" t="s">
        <v>16</v>
      </c>
      <c r="B13" s="140" t="s">
        <v>14</v>
      </c>
      <c r="C13" s="141">
        <v>0.33333333333333331</v>
      </c>
      <c r="D13" s="181">
        <v>0.91666666666666663</v>
      </c>
      <c r="E13" s="141">
        <f>D13-C13</f>
        <v>0.58333333333333326</v>
      </c>
      <c r="F13" s="142">
        <v>14</v>
      </c>
      <c r="G13" s="280">
        <v>9</v>
      </c>
      <c r="H13" s="142">
        <f t="shared" si="2"/>
        <v>126</v>
      </c>
      <c r="I13" s="144"/>
      <c r="J13" s="285"/>
      <c r="V13" s="176"/>
    </row>
    <row r="14" spans="1:22" s="15" customFormat="1" x14ac:dyDescent="0.25">
      <c r="A14" s="180" t="s">
        <v>165</v>
      </c>
      <c r="B14" s="140">
        <v>44982</v>
      </c>
      <c r="C14" s="141">
        <v>0.4375</v>
      </c>
      <c r="D14" s="181">
        <v>0.5</v>
      </c>
      <c r="E14" s="141">
        <f t="shared" ref="E14" si="3">D14-C14</f>
        <v>6.25E-2</v>
      </c>
      <c r="F14" s="142">
        <v>1.5</v>
      </c>
      <c r="G14" s="280">
        <v>1</v>
      </c>
      <c r="H14" s="142">
        <f t="shared" ref="H14:H16" si="4">(G14*F14)</f>
        <v>1.5</v>
      </c>
      <c r="I14" s="144"/>
      <c r="J14" s="285"/>
    </row>
    <row r="15" spans="1:22" s="15" customFormat="1" x14ac:dyDescent="0.25">
      <c r="A15" s="180" t="s">
        <v>88</v>
      </c>
      <c r="B15" s="140">
        <v>45048</v>
      </c>
      <c r="C15" s="194">
        <v>0.625</v>
      </c>
      <c r="D15" s="181">
        <v>0.70833333333333337</v>
      </c>
      <c r="E15" s="194">
        <f>D15-C15</f>
        <v>8.333333333333337E-2</v>
      </c>
      <c r="F15" s="261">
        <v>2</v>
      </c>
      <c r="G15" s="180">
        <v>1</v>
      </c>
      <c r="H15" s="142">
        <f t="shared" si="4"/>
        <v>2</v>
      </c>
      <c r="I15" s="153"/>
      <c r="J15" s="180"/>
    </row>
    <row r="16" spans="1:22" s="15" customFormat="1" x14ac:dyDescent="0.25">
      <c r="A16" s="180" t="s">
        <v>88</v>
      </c>
      <c r="B16" s="140">
        <v>45291</v>
      </c>
      <c r="C16" s="194">
        <v>0.625</v>
      </c>
      <c r="D16" s="181">
        <v>0.70833333333333337</v>
      </c>
      <c r="E16" s="194">
        <f>D16-C16</f>
        <v>8.333333333333337E-2</v>
      </c>
      <c r="F16" s="261">
        <v>2</v>
      </c>
      <c r="G16" s="180">
        <v>1</v>
      </c>
      <c r="H16" s="142">
        <f t="shared" si="4"/>
        <v>2</v>
      </c>
      <c r="I16" s="153"/>
      <c r="J16" s="180"/>
    </row>
    <row r="17" spans="1:10" s="15" customFormat="1" x14ac:dyDescent="0.25">
      <c r="A17" s="180" t="s">
        <v>36</v>
      </c>
      <c r="B17" s="264">
        <v>44990</v>
      </c>
      <c r="C17" s="141">
        <v>0.375</v>
      </c>
      <c r="D17" s="181">
        <v>0.41666666666666669</v>
      </c>
      <c r="E17" s="141">
        <f t="shared" ref="E17:E35" si="5">D17-C17</f>
        <v>4.1666666666666685E-2</v>
      </c>
      <c r="F17" s="142">
        <v>1</v>
      </c>
      <c r="G17" s="280">
        <v>1</v>
      </c>
      <c r="H17" s="142">
        <f>F17*G17</f>
        <v>1</v>
      </c>
      <c r="I17" s="144"/>
      <c r="J17" s="177"/>
    </row>
    <row r="18" spans="1:10" s="15" customFormat="1" x14ac:dyDescent="0.25">
      <c r="A18" s="180" t="s">
        <v>36</v>
      </c>
      <c r="B18" s="264">
        <v>45048</v>
      </c>
      <c r="C18" s="141">
        <v>0.54166666666666663</v>
      </c>
      <c r="D18" s="181">
        <v>0.58333333333333337</v>
      </c>
      <c r="E18" s="141">
        <f t="shared" si="5"/>
        <v>4.1666666666666741E-2</v>
      </c>
      <c r="F18" s="142">
        <v>1</v>
      </c>
      <c r="G18" s="143">
        <v>1</v>
      </c>
      <c r="H18" s="142">
        <f>F18*G18</f>
        <v>1</v>
      </c>
      <c r="I18" s="144"/>
      <c r="J18" s="177"/>
    </row>
    <row r="19" spans="1:10" s="15" customFormat="1" x14ac:dyDescent="0.25">
      <c r="A19" s="180" t="s">
        <v>36</v>
      </c>
      <c r="B19" s="264">
        <v>45264</v>
      </c>
      <c r="C19" s="141">
        <v>0.33333333333333331</v>
      </c>
      <c r="D19" s="181">
        <v>0.375</v>
      </c>
      <c r="E19" s="141">
        <f t="shared" si="5"/>
        <v>4.1666666666666685E-2</v>
      </c>
      <c r="F19" s="142">
        <v>1</v>
      </c>
      <c r="G19" s="143">
        <v>1</v>
      </c>
      <c r="H19" s="142">
        <f>F19*G19</f>
        <v>1</v>
      </c>
      <c r="I19" s="144"/>
      <c r="J19" s="177"/>
    </row>
    <row r="20" spans="1:10" s="15" customFormat="1" x14ac:dyDescent="0.25">
      <c r="A20" s="180" t="s">
        <v>36</v>
      </c>
      <c r="B20" s="264">
        <v>45281</v>
      </c>
      <c r="C20" s="141">
        <v>0.58333333333333337</v>
      </c>
      <c r="D20" s="181">
        <v>0.625</v>
      </c>
      <c r="E20" s="141">
        <f t="shared" si="5"/>
        <v>4.166666666666663E-2</v>
      </c>
      <c r="F20" s="142">
        <v>1</v>
      </c>
      <c r="G20" s="143">
        <v>1</v>
      </c>
      <c r="H20" s="142">
        <f>F20*G20</f>
        <v>1</v>
      </c>
      <c r="I20" s="144"/>
      <c r="J20" s="177"/>
    </row>
    <row r="21" spans="1:10" s="15" customFormat="1" x14ac:dyDescent="0.25">
      <c r="A21" s="180" t="s">
        <v>163</v>
      </c>
      <c r="B21" s="264">
        <v>44995</v>
      </c>
      <c r="C21" s="141">
        <v>0.375</v>
      </c>
      <c r="D21" s="181">
        <v>0.625</v>
      </c>
      <c r="E21" s="141">
        <f t="shared" si="5"/>
        <v>0.25</v>
      </c>
      <c r="F21" s="142">
        <v>6</v>
      </c>
      <c r="G21" s="143">
        <v>1</v>
      </c>
      <c r="H21" s="142">
        <f>F21*G21</f>
        <v>6</v>
      </c>
      <c r="I21" s="144"/>
      <c r="J21" s="177"/>
    </row>
    <row r="22" spans="1:10" s="15" customFormat="1" x14ac:dyDescent="0.25">
      <c r="A22" s="180" t="s">
        <v>172</v>
      </c>
      <c r="B22" s="264">
        <v>44984</v>
      </c>
      <c r="C22" s="141">
        <v>0.33333333333333331</v>
      </c>
      <c r="D22" s="181">
        <v>0.75</v>
      </c>
      <c r="E22" s="141">
        <f t="shared" si="5"/>
        <v>0.41666666666666669</v>
      </c>
      <c r="F22" s="142">
        <v>10</v>
      </c>
      <c r="G22" s="190">
        <v>1</v>
      </c>
      <c r="H22" s="281">
        <f t="shared" ref="H22:H23" si="6">F22*G22</f>
        <v>10</v>
      </c>
      <c r="I22" s="144"/>
      <c r="J22" s="177"/>
    </row>
    <row r="23" spans="1:10" s="15" customFormat="1" x14ac:dyDescent="0.25">
      <c r="A23" s="180" t="s">
        <v>172</v>
      </c>
      <c r="B23" s="264">
        <v>44985</v>
      </c>
      <c r="C23" s="141">
        <v>0.33333333333333331</v>
      </c>
      <c r="D23" s="181">
        <v>0.75</v>
      </c>
      <c r="E23" s="141">
        <f t="shared" si="5"/>
        <v>0.41666666666666669</v>
      </c>
      <c r="F23" s="142">
        <v>10</v>
      </c>
      <c r="G23" s="190">
        <v>1</v>
      </c>
      <c r="H23" s="281">
        <f t="shared" si="6"/>
        <v>10</v>
      </c>
      <c r="I23" s="144"/>
      <c r="J23" s="177"/>
    </row>
    <row r="24" spans="1:10" s="15" customFormat="1" x14ac:dyDescent="0.25">
      <c r="A24" s="180" t="s">
        <v>172</v>
      </c>
      <c r="B24" s="264">
        <v>44986</v>
      </c>
      <c r="C24" s="141">
        <v>0.33333333333333331</v>
      </c>
      <c r="D24" s="181">
        <v>0.54166666666666663</v>
      </c>
      <c r="E24" s="141">
        <f t="shared" si="5"/>
        <v>0.20833333333333331</v>
      </c>
      <c r="F24" s="142">
        <v>5</v>
      </c>
      <c r="G24" s="280">
        <v>1</v>
      </c>
      <c r="H24" s="142">
        <f>F24*G24</f>
        <v>5</v>
      </c>
      <c r="I24" s="144"/>
      <c r="J24" s="177"/>
    </row>
    <row r="25" spans="1:10" s="15" customFormat="1" x14ac:dyDescent="0.25">
      <c r="A25" s="180" t="s">
        <v>173</v>
      </c>
      <c r="B25" s="264">
        <v>45084</v>
      </c>
      <c r="C25" s="141">
        <v>0.5625</v>
      </c>
      <c r="D25" s="181">
        <v>0.79166666666666663</v>
      </c>
      <c r="E25" s="141">
        <f t="shared" si="5"/>
        <v>0.22916666666666663</v>
      </c>
      <c r="F25" s="142">
        <v>5.5</v>
      </c>
      <c r="G25" s="280">
        <v>1</v>
      </c>
      <c r="H25" s="142">
        <f>F25*G25</f>
        <v>5.5</v>
      </c>
      <c r="I25" s="144"/>
      <c r="J25" s="177"/>
    </row>
    <row r="26" spans="1:10" s="15" customFormat="1" x14ac:dyDescent="0.25">
      <c r="A26" s="180" t="s">
        <v>75</v>
      </c>
      <c r="B26" s="140" t="s">
        <v>14</v>
      </c>
      <c r="C26" s="141">
        <v>0.625</v>
      </c>
      <c r="D26" s="181">
        <v>0.6875</v>
      </c>
      <c r="E26" s="141">
        <f t="shared" si="5"/>
        <v>6.25E-2</v>
      </c>
      <c r="F26" s="142">
        <v>1.5</v>
      </c>
      <c r="G26" s="280">
        <v>34</v>
      </c>
      <c r="H26" s="142">
        <f t="shared" ref="H26:H31" si="7">G26*F26</f>
        <v>51</v>
      </c>
      <c r="I26" s="144"/>
      <c r="J26" s="177"/>
    </row>
    <row r="27" spans="1:10" s="15" customFormat="1" x14ac:dyDescent="0.25">
      <c r="A27" s="180" t="s">
        <v>18</v>
      </c>
      <c r="B27" s="140" t="s">
        <v>14</v>
      </c>
      <c r="C27" s="141">
        <v>0.5</v>
      </c>
      <c r="D27" s="181">
        <v>0.625</v>
      </c>
      <c r="E27" s="141">
        <f t="shared" si="5"/>
        <v>0.125</v>
      </c>
      <c r="F27" s="142">
        <v>3</v>
      </c>
      <c r="G27" s="280">
        <v>6</v>
      </c>
      <c r="H27" s="142">
        <f t="shared" si="7"/>
        <v>18</v>
      </c>
      <c r="I27" s="144"/>
      <c r="J27" s="177"/>
    </row>
    <row r="28" spans="1:10" s="15" customFormat="1" x14ac:dyDescent="0.25">
      <c r="A28" s="180" t="s">
        <v>85</v>
      </c>
      <c r="B28" s="140" t="s">
        <v>14</v>
      </c>
      <c r="C28" s="141">
        <v>0.54166666666666663</v>
      </c>
      <c r="D28" s="181">
        <v>0.625</v>
      </c>
      <c r="E28" s="141">
        <f t="shared" si="5"/>
        <v>8.333333333333337E-2</v>
      </c>
      <c r="F28" s="142">
        <v>2</v>
      </c>
      <c r="G28" s="280">
        <v>2</v>
      </c>
      <c r="H28" s="142">
        <f t="shared" si="7"/>
        <v>4</v>
      </c>
      <c r="I28" s="144"/>
      <c r="J28" s="177"/>
    </row>
    <row r="29" spans="1:10" s="15" customFormat="1" x14ac:dyDescent="0.25">
      <c r="A29" s="180" t="s">
        <v>85</v>
      </c>
      <c r="B29" s="140" t="s">
        <v>14</v>
      </c>
      <c r="C29" s="141">
        <v>0.75</v>
      </c>
      <c r="D29" s="181">
        <v>0.91666666666666663</v>
      </c>
      <c r="E29" s="141">
        <f t="shared" si="5"/>
        <v>0.16666666666666663</v>
      </c>
      <c r="F29" s="142">
        <v>4</v>
      </c>
      <c r="G29" s="280">
        <v>7</v>
      </c>
      <c r="H29" s="142">
        <f t="shared" si="7"/>
        <v>28</v>
      </c>
      <c r="I29" s="144"/>
      <c r="J29" s="177"/>
    </row>
    <row r="30" spans="1:10" s="15" customFormat="1" x14ac:dyDescent="0.25">
      <c r="A30" s="180" t="s">
        <v>85</v>
      </c>
      <c r="B30" s="140">
        <v>45285</v>
      </c>
      <c r="C30" s="141">
        <v>0.54166666666666663</v>
      </c>
      <c r="D30" s="181">
        <v>0.70833333333333337</v>
      </c>
      <c r="E30" s="141">
        <f t="shared" si="5"/>
        <v>0.16666666666666674</v>
      </c>
      <c r="F30" s="142">
        <v>4</v>
      </c>
      <c r="G30" s="280">
        <v>1</v>
      </c>
      <c r="H30" s="142">
        <f t="shared" si="7"/>
        <v>4</v>
      </c>
      <c r="I30" s="144"/>
      <c r="J30" s="177"/>
    </row>
    <row r="31" spans="1:10" s="15" customFormat="1" x14ac:dyDescent="0.25">
      <c r="A31" s="180" t="s">
        <v>169</v>
      </c>
      <c r="B31" s="140">
        <v>45023</v>
      </c>
      <c r="C31" s="141">
        <v>0.625</v>
      </c>
      <c r="D31" s="181">
        <v>0.70833333333333337</v>
      </c>
      <c r="E31" s="141">
        <f t="shared" si="5"/>
        <v>8.333333333333337E-2</v>
      </c>
      <c r="F31" s="142">
        <v>2</v>
      </c>
      <c r="G31" s="280">
        <v>1</v>
      </c>
      <c r="H31" s="142">
        <f t="shared" si="7"/>
        <v>2</v>
      </c>
      <c r="I31" s="144"/>
      <c r="J31" s="177"/>
    </row>
    <row r="32" spans="1:10" s="15" customFormat="1" x14ac:dyDescent="0.25">
      <c r="A32" s="180" t="s">
        <v>170</v>
      </c>
      <c r="B32" s="140">
        <v>45023</v>
      </c>
      <c r="C32" s="141">
        <v>0.54166666666666663</v>
      </c>
      <c r="D32" s="181">
        <v>0.70833333333333337</v>
      </c>
      <c r="E32" s="141">
        <f t="shared" si="5"/>
        <v>0.16666666666666674</v>
      </c>
      <c r="F32" s="142">
        <v>4</v>
      </c>
      <c r="G32" s="280">
        <v>1</v>
      </c>
      <c r="H32" s="261"/>
      <c r="I32" s="144">
        <f>G32*F32</f>
        <v>4</v>
      </c>
      <c r="J32" s="177"/>
    </row>
    <row r="33" spans="1:10" s="15" customFormat="1" x14ac:dyDescent="0.25">
      <c r="A33" s="180" t="s">
        <v>171</v>
      </c>
      <c r="B33" s="140">
        <v>45024</v>
      </c>
      <c r="C33" s="141">
        <v>0.45833333333333331</v>
      </c>
      <c r="D33" s="181">
        <v>0.54166666666666663</v>
      </c>
      <c r="E33" s="141">
        <f t="shared" si="5"/>
        <v>8.3333333333333315E-2</v>
      </c>
      <c r="F33" s="142">
        <v>2</v>
      </c>
      <c r="G33" s="280">
        <v>1</v>
      </c>
      <c r="H33" s="142">
        <f>G33*F33</f>
        <v>2</v>
      </c>
      <c r="I33" s="144"/>
      <c r="J33" s="177"/>
    </row>
    <row r="34" spans="1:10" s="15" customFormat="1" x14ac:dyDescent="0.25">
      <c r="A34" s="180" t="s">
        <v>80</v>
      </c>
      <c r="B34" s="140">
        <v>45025</v>
      </c>
      <c r="C34" s="141">
        <v>0.20833333333333334</v>
      </c>
      <c r="D34" s="181">
        <v>0.3125</v>
      </c>
      <c r="E34" s="141">
        <f t="shared" si="5"/>
        <v>0.10416666666666666</v>
      </c>
      <c r="F34" s="142">
        <v>2.5</v>
      </c>
      <c r="G34" s="280">
        <v>1</v>
      </c>
      <c r="H34" s="142">
        <f>G34*F34</f>
        <v>2.5</v>
      </c>
      <c r="I34" s="144"/>
      <c r="J34" s="177"/>
    </row>
    <row r="35" spans="1:10" s="15" customFormat="1" x14ac:dyDescent="0.25">
      <c r="A35" s="180" t="s">
        <v>164</v>
      </c>
      <c r="B35" s="140">
        <v>45075</v>
      </c>
      <c r="C35" s="141">
        <v>0.54166666666666663</v>
      </c>
      <c r="D35" s="181">
        <v>0.75</v>
      </c>
      <c r="E35" s="141">
        <f t="shared" si="5"/>
        <v>0.20833333333333337</v>
      </c>
      <c r="F35" s="142">
        <v>5</v>
      </c>
      <c r="G35" s="280">
        <v>1</v>
      </c>
      <c r="H35" s="142">
        <f>G35*F35</f>
        <v>5</v>
      </c>
      <c r="I35" s="144"/>
      <c r="J35" s="177"/>
    </row>
    <row r="36" spans="1:10" s="15" customFormat="1" x14ac:dyDescent="0.25">
      <c r="A36" s="180" t="s">
        <v>19</v>
      </c>
      <c r="B36" s="140" t="s">
        <v>14</v>
      </c>
      <c r="C36" s="141">
        <v>0.625</v>
      </c>
      <c r="D36" s="181">
        <v>0.75</v>
      </c>
      <c r="E36" s="141">
        <f t="shared" ref="E36:E42" si="8">D36-C36</f>
        <v>0.125</v>
      </c>
      <c r="F36" s="142">
        <v>3</v>
      </c>
      <c r="G36" s="280">
        <v>6</v>
      </c>
      <c r="H36" s="142">
        <f t="shared" ref="H36:H42" si="9">(G36*F36)</f>
        <v>18</v>
      </c>
      <c r="I36" s="144"/>
      <c r="J36" s="177"/>
    </row>
    <row r="37" spans="1:10" s="15" customFormat="1" x14ac:dyDescent="0.25">
      <c r="A37" s="180" t="s">
        <v>175</v>
      </c>
      <c r="B37" s="140">
        <v>45087</v>
      </c>
      <c r="C37" s="141">
        <v>0.625</v>
      </c>
      <c r="D37" s="181">
        <v>0.70833333333333337</v>
      </c>
      <c r="E37" s="141">
        <f t="shared" si="8"/>
        <v>8.333333333333337E-2</v>
      </c>
      <c r="F37" s="142">
        <v>2</v>
      </c>
      <c r="G37" s="280">
        <v>1</v>
      </c>
      <c r="H37" s="142">
        <f t="shared" si="9"/>
        <v>2</v>
      </c>
      <c r="I37" s="144"/>
      <c r="J37" s="177"/>
    </row>
    <row r="38" spans="1:10" s="15" customFormat="1" x14ac:dyDescent="0.25">
      <c r="A38" s="180" t="s">
        <v>175</v>
      </c>
      <c r="B38" s="140">
        <v>45115</v>
      </c>
      <c r="C38" s="141">
        <v>0.625</v>
      </c>
      <c r="D38" s="181">
        <v>0.75</v>
      </c>
      <c r="E38" s="141">
        <f t="shared" si="8"/>
        <v>0.125</v>
      </c>
      <c r="F38" s="142">
        <v>3</v>
      </c>
      <c r="G38" s="280">
        <v>1</v>
      </c>
      <c r="H38" s="142">
        <f t="shared" si="9"/>
        <v>3</v>
      </c>
      <c r="I38" s="144"/>
      <c r="J38" s="177"/>
    </row>
    <row r="39" spans="1:10" s="15" customFormat="1" x14ac:dyDescent="0.25">
      <c r="A39" s="180" t="s">
        <v>175</v>
      </c>
      <c r="B39" s="140">
        <v>45241</v>
      </c>
      <c r="C39" s="141">
        <v>0.58333333333333337</v>
      </c>
      <c r="D39" s="181">
        <v>0.70833333333333337</v>
      </c>
      <c r="E39" s="141">
        <f t="shared" si="8"/>
        <v>0.125</v>
      </c>
      <c r="F39" s="142">
        <v>3</v>
      </c>
      <c r="G39" s="280">
        <v>1</v>
      </c>
      <c r="H39" s="142">
        <f t="shared" si="9"/>
        <v>3</v>
      </c>
      <c r="I39" s="144"/>
      <c r="J39" s="177"/>
    </row>
    <row r="40" spans="1:10" s="15" customFormat="1" ht="15.75" thickBot="1" x14ac:dyDescent="0.3">
      <c r="A40" s="277" t="s">
        <v>175</v>
      </c>
      <c r="B40" s="275" t="s">
        <v>14</v>
      </c>
      <c r="C40" s="270">
        <v>0.625</v>
      </c>
      <c r="D40" s="271">
        <v>0.72916666666666663</v>
      </c>
      <c r="E40" s="270">
        <f t="shared" si="8"/>
        <v>0.10416666666666663</v>
      </c>
      <c r="F40" s="272">
        <v>2.5</v>
      </c>
      <c r="G40" s="282">
        <v>4</v>
      </c>
      <c r="H40" s="272">
        <f t="shared" si="9"/>
        <v>10</v>
      </c>
      <c r="I40" s="273"/>
      <c r="J40" s="274"/>
    </row>
    <row r="41" spans="1:10" s="15" customFormat="1" x14ac:dyDescent="0.25">
      <c r="A41" s="180" t="s">
        <v>176</v>
      </c>
      <c r="B41" s="140">
        <v>44982</v>
      </c>
      <c r="C41" s="141">
        <v>0.70833333333333337</v>
      </c>
      <c r="D41" s="181">
        <v>0.83333333333333337</v>
      </c>
      <c r="E41" s="141">
        <f t="shared" si="8"/>
        <v>0.125</v>
      </c>
      <c r="F41" s="142">
        <v>3</v>
      </c>
      <c r="G41" s="280">
        <v>1</v>
      </c>
      <c r="H41" s="142">
        <f t="shared" si="9"/>
        <v>3</v>
      </c>
      <c r="I41" s="144"/>
      <c r="J41" s="177"/>
    </row>
    <row r="42" spans="1:10" s="15" customFormat="1" x14ac:dyDescent="0.25">
      <c r="A42" s="180" t="s">
        <v>87</v>
      </c>
      <c r="B42" s="140">
        <v>44987</v>
      </c>
      <c r="C42" s="141">
        <v>0.75</v>
      </c>
      <c r="D42" s="181">
        <v>0.79166666666666663</v>
      </c>
      <c r="E42" s="141">
        <f t="shared" si="8"/>
        <v>4.166666666666663E-2</v>
      </c>
      <c r="F42" s="142">
        <v>1</v>
      </c>
      <c r="G42" s="280">
        <v>1</v>
      </c>
      <c r="H42" s="142">
        <f t="shared" si="9"/>
        <v>1</v>
      </c>
      <c r="I42" s="144"/>
      <c r="J42" s="177"/>
    </row>
    <row r="43" spans="1:10" s="15" customFormat="1" x14ac:dyDescent="0.25">
      <c r="A43" s="180" t="s">
        <v>77</v>
      </c>
      <c r="B43" s="140">
        <v>44988</v>
      </c>
      <c r="C43" s="141">
        <v>0.625</v>
      </c>
      <c r="D43" s="181">
        <v>0.83333333333333337</v>
      </c>
      <c r="E43" s="141">
        <f t="shared" ref="E43:E71" si="10">D43-C43</f>
        <v>0.20833333333333337</v>
      </c>
      <c r="F43" s="142">
        <v>5</v>
      </c>
      <c r="G43" s="280">
        <v>1</v>
      </c>
      <c r="H43" s="142">
        <f>G43*F43</f>
        <v>5</v>
      </c>
      <c r="I43" s="144"/>
      <c r="J43" s="177"/>
    </row>
    <row r="44" spans="1:10" s="15" customFormat="1" x14ac:dyDescent="0.25">
      <c r="A44" s="180" t="s">
        <v>177</v>
      </c>
      <c r="B44" s="140">
        <v>45022</v>
      </c>
      <c r="C44" s="141">
        <v>0.75</v>
      </c>
      <c r="D44" s="181">
        <v>0.875</v>
      </c>
      <c r="E44" s="141">
        <f t="shared" si="10"/>
        <v>0.125</v>
      </c>
      <c r="F44" s="142">
        <v>3</v>
      </c>
      <c r="G44" s="280">
        <v>1</v>
      </c>
      <c r="H44" s="153"/>
      <c r="I44" s="142">
        <f>G44*F44</f>
        <v>3</v>
      </c>
      <c r="J44" s="177"/>
    </row>
    <row r="45" spans="1:10" s="15" customFormat="1" x14ac:dyDescent="0.25">
      <c r="A45" s="180" t="s">
        <v>79</v>
      </c>
      <c r="B45" s="140">
        <v>44662</v>
      </c>
      <c r="C45" s="141">
        <v>0.5</v>
      </c>
      <c r="D45" s="181">
        <v>0.54166666666666663</v>
      </c>
      <c r="E45" s="141">
        <f t="shared" si="10"/>
        <v>4.166666666666663E-2</v>
      </c>
      <c r="F45" s="142">
        <v>1</v>
      </c>
      <c r="G45" s="280">
        <v>1</v>
      </c>
      <c r="H45" s="261">
        <f>G45*F45</f>
        <v>1</v>
      </c>
      <c r="I45" s="144"/>
      <c r="J45" s="177"/>
    </row>
    <row r="46" spans="1:10" s="15" customFormat="1" x14ac:dyDescent="0.25">
      <c r="A46" s="180" t="s">
        <v>82</v>
      </c>
      <c r="B46" s="140">
        <v>45031</v>
      </c>
      <c r="C46" s="141">
        <v>0.625</v>
      </c>
      <c r="D46" s="181">
        <v>0.66666666666666663</v>
      </c>
      <c r="E46" s="141">
        <f t="shared" si="10"/>
        <v>4.166666666666663E-2</v>
      </c>
      <c r="F46" s="142">
        <v>1</v>
      </c>
      <c r="G46" s="280">
        <v>1</v>
      </c>
      <c r="H46" s="261">
        <f>G46*F46</f>
        <v>1</v>
      </c>
      <c r="I46" s="144"/>
      <c r="J46" s="177"/>
    </row>
    <row r="47" spans="1:10" s="15" customFormat="1" x14ac:dyDescent="0.25">
      <c r="A47" s="180" t="s">
        <v>178</v>
      </c>
      <c r="B47" s="140">
        <v>45064</v>
      </c>
      <c r="C47" s="141">
        <v>0.66666666666666663</v>
      </c>
      <c r="D47" s="181">
        <v>0.70833333333333337</v>
      </c>
      <c r="E47" s="141">
        <f t="shared" si="10"/>
        <v>4.1666666666666741E-2</v>
      </c>
      <c r="F47" s="142">
        <v>1</v>
      </c>
      <c r="G47" s="280">
        <v>1</v>
      </c>
      <c r="H47" s="261">
        <f>G47*F47</f>
        <v>1</v>
      </c>
      <c r="I47" s="144"/>
      <c r="J47" s="177"/>
    </row>
    <row r="48" spans="1:10" s="15" customFormat="1" x14ac:dyDescent="0.25">
      <c r="A48" s="180" t="s">
        <v>83</v>
      </c>
      <c r="B48" s="140">
        <v>45074</v>
      </c>
      <c r="C48" s="141">
        <v>0.83333333333333337</v>
      </c>
      <c r="D48" s="181">
        <v>0.91666666666666663</v>
      </c>
      <c r="E48" s="141">
        <f t="shared" si="10"/>
        <v>8.3333333333333259E-2</v>
      </c>
      <c r="F48" s="142">
        <v>2</v>
      </c>
      <c r="G48" s="280">
        <v>1</v>
      </c>
      <c r="H48" s="261">
        <f>G48*F48</f>
        <v>2</v>
      </c>
      <c r="I48" s="144"/>
      <c r="J48" s="177"/>
    </row>
    <row r="49" spans="1:10" s="15" customFormat="1" x14ac:dyDescent="0.25">
      <c r="A49" s="180" t="s">
        <v>78</v>
      </c>
      <c r="B49" s="140">
        <v>44666</v>
      </c>
      <c r="C49" s="141">
        <v>0.77083333333333337</v>
      </c>
      <c r="D49" s="181">
        <v>0.8125</v>
      </c>
      <c r="E49" s="141">
        <f t="shared" si="10"/>
        <v>4.166666666666663E-2</v>
      </c>
      <c r="F49" s="142">
        <v>1</v>
      </c>
      <c r="G49" s="280">
        <v>1</v>
      </c>
      <c r="H49" s="261"/>
      <c r="I49" s="153">
        <f>G49*F49</f>
        <v>1</v>
      </c>
      <c r="J49" s="177"/>
    </row>
    <row r="50" spans="1:10" s="15" customFormat="1" x14ac:dyDescent="0.25">
      <c r="A50" s="180" t="s">
        <v>80</v>
      </c>
      <c r="B50" s="140">
        <v>44668</v>
      </c>
      <c r="C50" s="141">
        <v>0.20833333333333334</v>
      </c>
      <c r="D50" s="181">
        <v>0.3125</v>
      </c>
      <c r="E50" s="141">
        <f t="shared" si="10"/>
        <v>0.10416666666666666</v>
      </c>
      <c r="F50" s="142">
        <v>2.5</v>
      </c>
      <c r="G50" s="280">
        <v>1</v>
      </c>
      <c r="H50" s="261">
        <f>G50*F50</f>
        <v>2.5</v>
      </c>
      <c r="I50" s="153"/>
      <c r="J50" s="177"/>
    </row>
    <row r="51" spans="1:10" s="15" customFormat="1" ht="15" customHeight="1" x14ac:dyDescent="0.25">
      <c r="A51" s="184" t="s">
        <v>81</v>
      </c>
      <c r="B51" s="140" t="s">
        <v>14</v>
      </c>
      <c r="C51" s="186">
        <v>0.5625</v>
      </c>
      <c r="D51" s="187">
        <v>0.64583333333333337</v>
      </c>
      <c r="E51" s="186">
        <f t="shared" si="10"/>
        <v>8.333333333333337E-2</v>
      </c>
      <c r="F51" s="188">
        <v>2</v>
      </c>
      <c r="G51" s="283">
        <v>13</v>
      </c>
      <c r="H51" s="261"/>
      <c r="I51" s="189">
        <f>G51*F51</f>
        <v>26</v>
      </c>
      <c r="J51" s="177"/>
    </row>
    <row r="52" spans="1:10" s="15" customFormat="1" x14ac:dyDescent="0.25">
      <c r="A52" s="184" t="s">
        <v>168</v>
      </c>
      <c r="B52" s="185">
        <v>44990</v>
      </c>
      <c r="C52" s="186">
        <v>0.5</v>
      </c>
      <c r="D52" s="187">
        <v>0.58333333333333337</v>
      </c>
      <c r="E52" s="186">
        <f t="shared" si="10"/>
        <v>8.333333333333337E-2</v>
      </c>
      <c r="F52" s="188">
        <v>2</v>
      </c>
      <c r="G52" s="283">
        <v>1</v>
      </c>
      <c r="H52" s="261"/>
      <c r="I52" s="189">
        <f>G52*F52</f>
        <v>2</v>
      </c>
      <c r="J52" s="177"/>
    </row>
    <row r="53" spans="1:10" s="15" customFormat="1" x14ac:dyDescent="0.25">
      <c r="A53" s="184" t="s">
        <v>174</v>
      </c>
      <c r="B53" s="185">
        <v>45087</v>
      </c>
      <c r="C53" s="186">
        <v>0.4375</v>
      </c>
      <c r="D53" s="187">
        <v>0.5</v>
      </c>
      <c r="E53" s="186">
        <f t="shared" si="10"/>
        <v>6.25E-2</v>
      </c>
      <c r="F53" s="188">
        <v>1.5</v>
      </c>
      <c r="G53" s="283">
        <v>1</v>
      </c>
      <c r="H53" s="261">
        <f t="shared" ref="H53" si="11">G53*F53</f>
        <v>1.5</v>
      </c>
      <c r="I53" s="189"/>
      <c r="J53" s="177"/>
    </row>
    <row r="54" spans="1:10" s="15" customFormat="1" x14ac:dyDescent="0.25">
      <c r="A54" s="184" t="s">
        <v>179</v>
      </c>
      <c r="B54" s="185">
        <v>45106</v>
      </c>
      <c r="C54" s="186">
        <v>0.45833333333333331</v>
      </c>
      <c r="D54" s="187">
        <v>0.625</v>
      </c>
      <c r="E54" s="186">
        <f t="shared" si="10"/>
        <v>0.16666666666666669</v>
      </c>
      <c r="F54" s="188">
        <v>4</v>
      </c>
      <c r="G54" s="283">
        <v>1</v>
      </c>
      <c r="H54" s="153"/>
      <c r="I54" s="261">
        <f>G54*F54</f>
        <v>4</v>
      </c>
      <c r="J54" s="177"/>
    </row>
    <row r="55" spans="1:10" s="15" customFormat="1" x14ac:dyDescent="0.25">
      <c r="A55" s="184" t="s">
        <v>180</v>
      </c>
      <c r="B55" s="185">
        <v>45108</v>
      </c>
      <c r="C55" s="186">
        <v>0.54166666666666663</v>
      </c>
      <c r="D55" s="187">
        <v>0.66666666666666663</v>
      </c>
      <c r="E55" s="186">
        <f t="shared" si="10"/>
        <v>0.125</v>
      </c>
      <c r="F55" s="188">
        <v>3</v>
      </c>
      <c r="G55" s="283">
        <v>1</v>
      </c>
      <c r="H55" s="261">
        <f t="shared" ref="H55:H57" si="12">G55*F55</f>
        <v>3</v>
      </c>
      <c r="I55" s="189"/>
      <c r="J55" s="177"/>
    </row>
    <row r="56" spans="1:10" s="15" customFormat="1" x14ac:dyDescent="0.25">
      <c r="A56" s="184" t="s">
        <v>181</v>
      </c>
      <c r="B56" s="185">
        <v>45129</v>
      </c>
      <c r="C56" s="186">
        <v>0.58333333333333337</v>
      </c>
      <c r="D56" s="187">
        <v>0.66666666666666663</v>
      </c>
      <c r="E56" s="186">
        <f t="shared" si="10"/>
        <v>8.3333333333333259E-2</v>
      </c>
      <c r="F56" s="188">
        <v>2</v>
      </c>
      <c r="G56" s="283">
        <v>1</v>
      </c>
      <c r="H56" s="261">
        <f t="shared" si="12"/>
        <v>2</v>
      </c>
      <c r="I56" s="189"/>
      <c r="J56" s="177"/>
    </row>
    <row r="57" spans="1:10" s="15" customFormat="1" x14ac:dyDescent="0.25">
      <c r="A57" s="184" t="s">
        <v>182</v>
      </c>
      <c r="B57" s="185">
        <v>45164</v>
      </c>
      <c r="C57" s="186">
        <v>0.83333333333333337</v>
      </c>
      <c r="D57" s="187">
        <v>6.25E-2</v>
      </c>
      <c r="E57" s="186">
        <v>0.22916666666666666</v>
      </c>
      <c r="F57" s="188">
        <v>5.5</v>
      </c>
      <c r="G57" s="283">
        <v>1</v>
      </c>
      <c r="H57" s="261">
        <f t="shared" si="12"/>
        <v>5.5</v>
      </c>
      <c r="I57" s="189"/>
      <c r="J57" s="177"/>
    </row>
    <row r="58" spans="1:10" s="15" customFormat="1" x14ac:dyDescent="0.25">
      <c r="A58" s="184" t="s">
        <v>183</v>
      </c>
      <c r="B58" s="185">
        <v>45168</v>
      </c>
      <c r="C58" s="186">
        <v>0.70833333333333337</v>
      </c>
      <c r="D58" s="187">
        <v>0.83333333333333337</v>
      </c>
      <c r="E58" s="186">
        <f t="shared" si="10"/>
        <v>0.125</v>
      </c>
      <c r="F58" s="188">
        <v>3</v>
      </c>
      <c r="G58" s="283">
        <v>1</v>
      </c>
      <c r="H58" s="153"/>
      <c r="I58" s="261">
        <f>G58*F58</f>
        <v>3</v>
      </c>
      <c r="J58" s="177"/>
    </row>
    <row r="59" spans="1:10" s="15" customFormat="1" x14ac:dyDescent="0.25">
      <c r="A59" s="184" t="s">
        <v>186</v>
      </c>
      <c r="B59" s="185">
        <v>45172</v>
      </c>
      <c r="C59" s="186">
        <v>0.66666666666666663</v>
      </c>
      <c r="D59" s="187">
        <v>0.85416666666666663</v>
      </c>
      <c r="E59" s="186">
        <f t="shared" si="10"/>
        <v>0.1875</v>
      </c>
      <c r="F59" s="188">
        <v>4.5</v>
      </c>
      <c r="G59" s="283">
        <v>1</v>
      </c>
      <c r="H59" s="153"/>
      <c r="I59" s="261">
        <f>G59*F59</f>
        <v>4.5</v>
      </c>
      <c r="J59" s="177"/>
    </row>
    <row r="60" spans="1:10" s="15" customFormat="1" x14ac:dyDescent="0.25">
      <c r="A60" s="184" t="s">
        <v>184</v>
      </c>
      <c r="B60" s="185">
        <v>45179</v>
      </c>
      <c r="C60" s="186">
        <v>0.5</v>
      </c>
      <c r="D60" s="187">
        <v>0.625</v>
      </c>
      <c r="E60" s="186">
        <f t="shared" si="10"/>
        <v>0.125</v>
      </c>
      <c r="F60" s="188">
        <v>3</v>
      </c>
      <c r="G60" s="283">
        <v>1</v>
      </c>
      <c r="H60" s="153"/>
      <c r="I60" s="261">
        <f>G60*F60</f>
        <v>3</v>
      </c>
      <c r="J60" s="177"/>
    </row>
    <row r="61" spans="1:10" s="15" customFormat="1" x14ac:dyDescent="0.25">
      <c r="A61" s="184" t="s">
        <v>185</v>
      </c>
      <c r="B61" s="185">
        <v>45228</v>
      </c>
      <c r="C61" s="186">
        <v>0.54166666666666663</v>
      </c>
      <c r="D61" s="187">
        <v>0.66666666666666663</v>
      </c>
      <c r="E61" s="186">
        <f t="shared" si="10"/>
        <v>0.125</v>
      </c>
      <c r="F61" s="188">
        <v>3</v>
      </c>
      <c r="G61" s="283">
        <v>1</v>
      </c>
      <c r="H61" s="261">
        <f>G61*F61</f>
        <v>3</v>
      </c>
      <c r="I61" s="261"/>
      <c r="J61" s="177"/>
    </row>
    <row r="62" spans="1:10" s="15" customFormat="1" x14ac:dyDescent="0.25">
      <c r="A62" s="184" t="s">
        <v>195</v>
      </c>
      <c r="B62" s="185">
        <v>45256</v>
      </c>
      <c r="C62" s="186">
        <v>0.5625</v>
      </c>
      <c r="D62" s="187">
        <v>0.625</v>
      </c>
      <c r="E62" s="186">
        <f t="shared" si="10"/>
        <v>6.25E-2</v>
      </c>
      <c r="F62" s="188">
        <v>1.5</v>
      </c>
      <c r="G62" s="283">
        <v>1</v>
      </c>
      <c r="H62" s="261"/>
      <c r="I62" s="261">
        <f>F62*G62</f>
        <v>1.5</v>
      </c>
      <c r="J62" s="177"/>
    </row>
    <row r="63" spans="1:10" s="15" customFormat="1" ht="16.5" customHeight="1" x14ac:dyDescent="0.25">
      <c r="A63" s="184" t="s">
        <v>189</v>
      </c>
      <c r="B63" s="185">
        <v>45239</v>
      </c>
      <c r="C63" s="186">
        <v>0.72916666666666663</v>
      </c>
      <c r="D63" s="187">
        <v>0.85416666666666663</v>
      </c>
      <c r="E63" s="186">
        <f t="shared" si="10"/>
        <v>0.125</v>
      </c>
      <c r="F63" s="188">
        <v>3</v>
      </c>
      <c r="G63" s="283">
        <v>1</v>
      </c>
      <c r="H63" s="261">
        <f>G63*F63</f>
        <v>3</v>
      </c>
      <c r="I63" s="261"/>
      <c r="J63" s="177"/>
    </row>
    <row r="64" spans="1:10" s="15" customFormat="1" ht="15.75" customHeight="1" x14ac:dyDescent="0.25">
      <c r="A64" s="184" t="s">
        <v>196</v>
      </c>
      <c r="B64" s="185">
        <v>45263</v>
      </c>
      <c r="C64" s="186">
        <v>0.625</v>
      </c>
      <c r="D64" s="187">
        <v>0.83333333333333337</v>
      </c>
      <c r="E64" s="186">
        <f t="shared" si="10"/>
        <v>0.20833333333333337</v>
      </c>
      <c r="F64" s="188">
        <v>5</v>
      </c>
      <c r="G64" s="283">
        <v>1</v>
      </c>
      <c r="H64" s="261">
        <f>F64*G64</f>
        <v>5</v>
      </c>
      <c r="I64" s="261">
        <f>F64*G64</f>
        <v>5</v>
      </c>
      <c r="J64" s="177"/>
    </row>
    <row r="65" spans="1:13" s="15" customFormat="1" ht="15.75" customHeight="1" x14ac:dyDescent="0.25">
      <c r="A65" s="184" t="s">
        <v>197</v>
      </c>
      <c r="B65" s="185">
        <v>45270</v>
      </c>
      <c r="C65" s="186">
        <v>0.5</v>
      </c>
      <c r="D65" s="187">
        <v>0.66666666666666663</v>
      </c>
      <c r="E65" s="186">
        <f t="shared" si="10"/>
        <v>0.16666666666666663</v>
      </c>
      <c r="F65" s="188">
        <v>4</v>
      </c>
      <c r="G65" s="283">
        <v>1</v>
      </c>
      <c r="H65" s="153"/>
      <c r="I65" s="261">
        <f>F65*G65</f>
        <v>4</v>
      </c>
      <c r="J65" s="177"/>
    </row>
    <row r="66" spans="1:13" s="15" customFormat="1" ht="15.75" customHeight="1" x14ac:dyDescent="0.25">
      <c r="A66" s="184" t="s">
        <v>188</v>
      </c>
      <c r="B66" s="185">
        <v>45273</v>
      </c>
      <c r="C66" s="186">
        <v>0.375</v>
      </c>
      <c r="D66" s="187">
        <v>0.625</v>
      </c>
      <c r="E66" s="186">
        <f t="shared" si="10"/>
        <v>0.25</v>
      </c>
      <c r="F66" s="188">
        <v>6</v>
      </c>
      <c r="G66" s="283">
        <v>1</v>
      </c>
      <c r="H66" s="261">
        <f>G66*F66</f>
        <v>6</v>
      </c>
      <c r="I66" s="261">
        <f>H66*G66</f>
        <v>6</v>
      </c>
      <c r="J66" s="177"/>
    </row>
    <row r="67" spans="1:13" s="15" customFormat="1" ht="15.75" customHeight="1" x14ac:dyDescent="0.25">
      <c r="A67" s="184" t="s">
        <v>198</v>
      </c>
      <c r="B67" s="185">
        <v>45277</v>
      </c>
      <c r="C67" s="186">
        <v>0.64583333333333337</v>
      </c>
      <c r="D67" s="187">
        <v>0.83333333333333337</v>
      </c>
      <c r="E67" s="186">
        <f t="shared" si="10"/>
        <v>0.1875</v>
      </c>
      <c r="F67" s="188">
        <v>4.5</v>
      </c>
      <c r="G67" s="283">
        <v>1</v>
      </c>
      <c r="H67" s="153"/>
      <c r="I67" s="261">
        <f>F67*G67</f>
        <v>4.5</v>
      </c>
      <c r="J67" s="177"/>
    </row>
    <row r="68" spans="1:13" s="15" customFormat="1" ht="15.75" customHeight="1" x14ac:dyDescent="0.25">
      <c r="A68" s="184" t="s">
        <v>199</v>
      </c>
      <c r="B68" s="185">
        <v>45280</v>
      </c>
      <c r="C68" s="186">
        <v>0.75</v>
      </c>
      <c r="D68" s="187">
        <v>0.91666666666666663</v>
      </c>
      <c r="E68" s="186">
        <f t="shared" si="10"/>
        <v>0.16666666666666663</v>
      </c>
      <c r="F68" s="188">
        <v>4</v>
      </c>
      <c r="G68" s="283">
        <v>1</v>
      </c>
      <c r="H68" s="153">
        <f>F68*G68</f>
        <v>4</v>
      </c>
      <c r="I68" s="261"/>
      <c r="J68" s="177"/>
    </row>
    <row r="69" spans="1:13" s="15" customFormat="1" ht="15.75" customHeight="1" x14ac:dyDescent="0.25">
      <c r="A69" s="184" t="s">
        <v>15</v>
      </c>
      <c r="B69" s="185">
        <v>45284</v>
      </c>
      <c r="C69" s="186">
        <v>0.58333333333333337</v>
      </c>
      <c r="D69" s="187">
        <v>0.79166666666666663</v>
      </c>
      <c r="E69" s="186">
        <f t="shared" si="10"/>
        <v>0.20833333333333326</v>
      </c>
      <c r="F69" s="188">
        <v>5</v>
      </c>
      <c r="G69" s="283">
        <v>1</v>
      </c>
      <c r="H69" s="261">
        <f>G69*F69</f>
        <v>5</v>
      </c>
      <c r="I69" s="261"/>
      <c r="J69" s="177"/>
    </row>
    <row r="70" spans="1:13" s="15" customFormat="1" ht="15.75" customHeight="1" x14ac:dyDescent="0.25">
      <c r="A70" s="184" t="s">
        <v>200</v>
      </c>
      <c r="B70" s="185">
        <v>45284</v>
      </c>
      <c r="C70" s="186">
        <v>0.75</v>
      </c>
      <c r="D70" s="187">
        <v>0.91666666666666663</v>
      </c>
      <c r="E70" s="186">
        <f t="shared" si="10"/>
        <v>0.16666666666666663</v>
      </c>
      <c r="F70" s="188">
        <v>4</v>
      </c>
      <c r="G70" s="283">
        <v>1</v>
      </c>
      <c r="H70" s="153"/>
      <c r="I70" s="261">
        <f>F70*G70</f>
        <v>4</v>
      </c>
      <c r="J70" s="177"/>
    </row>
    <row r="71" spans="1:13" s="15" customFormat="1" ht="15.75" customHeight="1" thickBot="1" x14ac:dyDescent="0.3">
      <c r="A71" s="314" t="s">
        <v>26</v>
      </c>
      <c r="B71" s="185">
        <v>45285</v>
      </c>
      <c r="C71" s="186">
        <v>0.70833333333333337</v>
      </c>
      <c r="D71" s="187">
        <v>0.79166666666666663</v>
      </c>
      <c r="E71" s="186">
        <f t="shared" si="10"/>
        <v>8.3333333333333259E-2</v>
      </c>
      <c r="F71" s="188">
        <v>2</v>
      </c>
      <c r="G71" s="315">
        <v>1</v>
      </c>
      <c r="H71" s="261">
        <f>F71*G71</f>
        <v>2</v>
      </c>
      <c r="I71" s="261"/>
      <c r="J71" s="177"/>
    </row>
    <row r="72" spans="1:13" s="15" customFormat="1" ht="15.75" thickBot="1" x14ac:dyDescent="0.3">
      <c r="A72" s="17" t="s">
        <v>24</v>
      </c>
      <c r="B72" s="18"/>
      <c r="C72" s="18"/>
      <c r="D72" s="278"/>
      <c r="E72" s="18"/>
      <c r="F72" s="25"/>
      <c r="G72" s="316"/>
      <c r="H72" s="268">
        <f>SUM(H4:H61)</f>
        <v>507.5</v>
      </c>
      <c r="I72" s="26">
        <f>SUM(I4:I61)</f>
        <v>178</v>
      </c>
      <c r="J72" s="178">
        <f>SUM(J4:J61)</f>
        <v>0</v>
      </c>
    </row>
    <row r="73" spans="1:13" s="15" customFormat="1" ht="15.75" thickBot="1" x14ac:dyDescent="0.3">
      <c r="A73" s="3"/>
      <c r="B73" s="3"/>
      <c r="C73" s="3"/>
      <c r="D73" s="3"/>
      <c r="E73" s="3"/>
      <c r="F73" s="21"/>
      <c r="G73" s="5"/>
      <c r="H73" s="269"/>
      <c r="I73" s="32" t="s">
        <v>20</v>
      </c>
      <c r="J73" s="179"/>
    </row>
    <row r="74" spans="1:13" s="15" customFormat="1" x14ac:dyDescent="0.25">
      <c r="A74" s="3"/>
      <c r="B74" s="3"/>
      <c r="C74" s="3"/>
      <c r="D74" s="3"/>
      <c r="E74" s="3"/>
      <c r="F74" s="21"/>
      <c r="G74" s="5"/>
      <c r="H74" s="21"/>
      <c r="I74" s="3"/>
      <c r="J74" s="3"/>
    </row>
    <row r="75" spans="1:13" s="15" customFormat="1" x14ac:dyDescent="0.25">
      <c r="A75" s="3"/>
      <c r="B75" s="3"/>
      <c r="C75" s="3"/>
      <c r="D75" s="3"/>
      <c r="E75" s="3"/>
      <c r="F75" s="21"/>
      <c r="G75" s="5"/>
      <c r="H75" s="21"/>
      <c r="I75" s="3"/>
      <c r="J75" s="3"/>
    </row>
    <row r="76" spans="1:13" s="42" customFormat="1" x14ac:dyDescent="0.25">
      <c r="A76" s="3"/>
      <c r="B76" s="3"/>
      <c r="C76" s="3"/>
      <c r="D76" s="3"/>
      <c r="E76" s="3"/>
      <c r="F76" s="21"/>
      <c r="G76" s="5"/>
      <c r="H76" s="21"/>
      <c r="I76" s="3"/>
      <c r="J76" s="3"/>
    </row>
    <row r="77" spans="1:13" s="29" customFormat="1" x14ac:dyDescent="0.25">
      <c r="A77" s="3"/>
      <c r="B77" s="182"/>
      <c r="C77" s="146"/>
      <c r="D77" s="146"/>
      <c r="E77" s="183"/>
      <c r="F77" s="21"/>
      <c r="G77" s="5"/>
      <c r="H77" s="21"/>
      <c r="I77" s="3"/>
      <c r="J77" s="3"/>
    </row>
    <row r="78" spans="1:13" s="29" customFormat="1" x14ac:dyDescent="0.25">
      <c r="A78" s="3"/>
      <c r="B78" s="182"/>
      <c r="C78" s="146"/>
      <c r="D78" s="146"/>
      <c r="E78" s="183"/>
      <c r="F78" s="21"/>
      <c r="G78" s="5"/>
      <c r="H78" s="21"/>
      <c r="I78" s="3"/>
      <c r="J78" s="3"/>
      <c r="K78" s="3"/>
      <c r="L78" s="5"/>
      <c r="M78" s="3"/>
    </row>
    <row r="79" spans="1:13" s="15" customFormat="1" x14ac:dyDescent="0.25">
      <c r="A79" s="3"/>
      <c r="B79" s="182"/>
      <c r="C79" s="146"/>
      <c r="D79" s="146"/>
      <c r="E79" s="183"/>
      <c r="F79" s="21"/>
      <c r="G79" s="5"/>
      <c r="H79" s="21"/>
      <c r="I79" s="3"/>
      <c r="J79" s="3"/>
      <c r="K79" s="3"/>
      <c r="L79" s="5"/>
      <c r="M79" s="3"/>
    </row>
    <row r="80" spans="1:13" s="15" customFormat="1" x14ac:dyDescent="0.25">
      <c r="A80" s="191"/>
      <c r="B80" s="182"/>
      <c r="C80" s="146"/>
      <c r="D80" s="146"/>
      <c r="E80" s="183"/>
      <c r="F80" s="21"/>
      <c r="G80" s="5"/>
      <c r="H80" s="21"/>
      <c r="I80" s="3"/>
      <c r="J80" s="3"/>
      <c r="K80" s="3"/>
      <c r="L80" s="5"/>
      <c r="M80" s="3"/>
    </row>
    <row r="81" spans="1:18" s="15" customFormat="1" x14ac:dyDescent="0.25">
      <c r="A81" s="3"/>
      <c r="B81" s="3"/>
      <c r="C81" s="3"/>
      <c r="D81" s="3"/>
      <c r="E81" s="3"/>
      <c r="F81" s="21"/>
      <c r="G81" s="5"/>
      <c r="H81" s="21"/>
      <c r="I81" s="3"/>
      <c r="J81" s="3"/>
      <c r="K81" s="3"/>
      <c r="L81" s="5"/>
      <c r="M81" s="3"/>
    </row>
    <row r="82" spans="1:18" s="11" customFormat="1" x14ac:dyDescent="0.25">
      <c r="A82" s="3"/>
      <c r="B82" s="3"/>
      <c r="C82" s="3"/>
      <c r="D82" s="3"/>
      <c r="E82" s="3"/>
      <c r="F82" s="21"/>
      <c r="G82" s="5"/>
      <c r="H82" s="21"/>
      <c r="I82" s="3"/>
      <c r="J82" s="3"/>
      <c r="K82" s="3"/>
      <c r="L82" s="5"/>
      <c r="M82" s="3"/>
    </row>
    <row r="83" spans="1:18" s="11" customFormat="1" x14ac:dyDescent="0.25">
      <c r="A83" s="3"/>
      <c r="B83" s="3"/>
      <c r="C83" s="3"/>
      <c r="D83" s="3"/>
      <c r="E83" s="3"/>
      <c r="F83" s="21"/>
      <c r="G83" s="5"/>
      <c r="H83" s="21"/>
      <c r="I83" s="3"/>
      <c r="J83" s="3"/>
      <c r="K83" s="3"/>
      <c r="L83" s="5"/>
      <c r="M83" s="3"/>
    </row>
    <row r="84" spans="1:18" s="15" customFormat="1" x14ac:dyDescent="0.25">
      <c r="A84" s="3"/>
      <c r="B84" s="3"/>
      <c r="C84" s="3"/>
      <c r="D84" s="3"/>
      <c r="E84" s="3"/>
      <c r="F84" s="21"/>
      <c r="G84" s="5"/>
      <c r="H84" s="21"/>
      <c r="I84" s="3"/>
      <c r="J84" s="3"/>
      <c r="K84" s="3"/>
      <c r="L84" s="5"/>
      <c r="M84" s="3"/>
    </row>
    <row r="85" spans="1:18" x14ac:dyDescent="0.25">
      <c r="N85" s="38"/>
      <c r="O85" s="38"/>
      <c r="P85" s="45"/>
      <c r="Q85" s="38"/>
      <c r="R85" s="38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1"/>
  <sheetViews>
    <sheetView topLeftCell="A24" zoomScale="80" zoomScaleNormal="80" workbookViewId="0">
      <selection activeCell="B65" sqref="B65"/>
    </sheetView>
  </sheetViews>
  <sheetFormatPr baseColWidth="10" defaultRowHeight="15" x14ac:dyDescent="0.25"/>
  <cols>
    <col min="1" max="1" width="15.85546875" style="3" customWidth="1"/>
    <col min="2" max="2" width="35.140625" style="3" customWidth="1"/>
    <col min="3" max="5" width="11.5703125" style="3" customWidth="1"/>
    <col min="6" max="6" width="11.5703125" style="21" customWidth="1"/>
    <col min="7" max="7" width="14" style="5" customWidth="1"/>
    <col min="8" max="8" width="23.28515625" style="3" customWidth="1"/>
    <col min="9" max="11" width="11.85546875" style="3" customWidth="1"/>
    <col min="12" max="12" width="13.140625" style="5" customWidth="1"/>
    <col min="13" max="18" width="11.85546875" style="3" customWidth="1"/>
  </cols>
  <sheetData>
    <row r="1" spans="1:18" ht="20.25" thickBot="1" x14ac:dyDescent="0.35">
      <c r="A1" s="6"/>
      <c r="B1" s="7"/>
      <c r="C1" s="7"/>
      <c r="D1" s="7"/>
      <c r="E1" s="7"/>
      <c r="F1" s="20"/>
      <c r="G1" s="8"/>
      <c r="H1" s="170" t="s">
        <v>20</v>
      </c>
      <c r="I1"/>
      <c r="J1"/>
      <c r="K1"/>
      <c r="L1"/>
      <c r="M1"/>
      <c r="N1"/>
      <c r="O1"/>
      <c r="P1"/>
      <c r="Q1"/>
      <c r="R1"/>
    </row>
    <row r="2" spans="1:18" ht="20.25" customHeight="1" thickBot="1" x14ac:dyDescent="0.35">
      <c r="A2" s="4" t="s">
        <v>2</v>
      </c>
      <c r="B2" s="293" t="s">
        <v>84</v>
      </c>
      <c r="C2" s="173" t="s">
        <v>5</v>
      </c>
      <c r="D2" s="174" t="s">
        <v>6</v>
      </c>
      <c r="E2" s="173" t="s">
        <v>8</v>
      </c>
      <c r="F2" s="260" t="s">
        <v>9</v>
      </c>
      <c r="G2" s="175" t="s">
        <v>12</v>
      </c>
      <c r="H2" s="198" t="s">
        <v>1</v>
      </c>
      <c r="I2"/>
      <c r="J2" s="263" t="s">
        <v>187</v>
      </c>
      <c r="K2"/>
      <c r="L2"/>
      <c r="M2"/>
      <c r="N2"/>
      <c r="O2"/>
      <c r="P2"/>
      <c r="Q2"/>
      <c r="R2"/>
    </row>
    <row r="3" spans="1:18" ht="15.75" customHeight="1" thickTop="1" x14ac:dyDescent="0.25">
      <c r="A3" s="9" t="s">
        <v>13</v>
      </c>
      <c r="B3" s="294" t="s">
        <v>14</v>
      </c>
      <c r="C3" s="196">
        <v>0.375</v>
      </c>
      <c r="D3" s="197">
        <v>0.41666666666666669</v>
      </c>
      <c r="E3" s="141">
        <f>D3-C3</f>
        <v>4.1666666666666685E-2</v>
      </c>
      <c r="F3" s="142">
        <v>1</v>
      </c>
      <c r="G3" s="193">
        <v>1</v>
      </c>
      <c r="H3" s="199">
        <f>(G3*F3)</f>
        <v>1</v>
      </c>
      <c r="I3"/>
      <c r="J3"/>
      <c r="K3"/>
      <c r="L3"/>
      <c r="M3"/>
      <c r="N3"/>
      <c r="O3"/>
      <c r="P3"/>
      <c r="Q3"/>
      <c r="R3"/>
    </row>
    <row r="4" spans="1:18" ht="15.75" customHeight="1" x14ac:dyDescent="0.25">
      <c r="A4" s="9" t="s">
        <v>13</v>
      </c>
      <c r="B4" s="294" t="s">
        <v>14</v>
      </c>
      <c r="C4" s="196">
        <v>0.375</v>
      </c>
      <c r="D4" s="197">
        <v>0.4375</v>
      </c>
      <c r="E4" s="141">
        <f>D4-C4</f>
        <v>6.25E-2</v>
      </c>
      <c r="F4" s="142">
        <v>1</v>
      </c>
      <c r="G4" s="193">
        <v>1</v>
      </c>
      <c r="H4" s="199">
        <f>(G4*F4)</f>
        <v>1</v>
      </c>
      <c r="I4"/>
      <c r="J4"/>
      <c r="K4"/>
      <c r="L4"/>
      <c r="M4"/>
      <c r="N4"/>
      <c r="O4"/>
      <c r="P4"/>
      <c r="Q4"/>
      <c r="R4"/>
    </row>
    <row r="5" spans="1:18" ht="16.5" customHeight="1" x14ac:dyDescent="0.25">
      <c r="A5" s="9" t="s">
        <v>13</v>
      </c>
      <c r="B5" s="294" t="s">
        <v>14</v>
      </c>
      <c r="C5" s="196">
        <v>0.375</v>
      </c>
      <c r="D5" s="197">
        <v>0.5</v>
      </c>
      <c r="E5" s="141">
        <f>D5-C5</f>
        <v>0.125</v>
      </c>
      <c r="F5" s="142">
        <v>3</v>
      </c>
      <c r="G5" s="193">
        <v>32</v>
      </c>
      <c r="H5" s="199">
        <f>G5*F5</f>
        <v>96</v>
      </c>
      <c r="I5"/>
      <c r="J5"/>
      <c r="K5"/>
      <c r="L5"/>
      <c r="M5"/>
      <c r="N5"/>
      <c r="O5"/>
      <c r="P5"/>
      <c r="Q5"/>
      <c r="R5"/>
    </row>
    <row r="6" spans="1:18" ht="16.5" customHeight="1" x14ac:dyDescent="0.25">
      <c r="A6" s="9" t="s">
        <v>13</v>
      </c>
      <c r="B6" s="294" t="s">
        <v>14</v>
      </c>
      <c r="C6" s="196">
        <v>0.375</v>
      </c>
      <c r="D6" s="197">
        <v>0.54166666666666663</v>
      </c>
      <c r="E6" s="141">
        <f>D6-C6</f>
        <v>0.16666666666666663</v>
      </c>
      <c r="F6" s="142">
        <v>4</v>
      </c>
      <c r="G6" s="193">
        <v>1</v>
      </c>
      <c r="H6" s="199">
        <f>G6*F6</f>
        <v>4</v>
      </c>
      <c r="I6"/>
      <c r="J6"/>
      <c r="K6"/>
      <c r="L6"/>
      <c r="M6"/>
      <c r="N6"/>
      <c r="O6"/>
      <c r="P6"/>
      <c r="Q6"/>
      <c r="R6"/>
    </row>
    <row r="7" spans="1:18" s="15" customFormat="1" x14ac:dyDescent="0.25">
      <c r="A7" s="9" t="s">
        <v>13</v>
      </c>
      <c r="B7" s="294" t="s">
        <v>14</v>
      </c>
      <c r="C7" s="141">
        <v>0.41666666666666669</v>
      </c>
      <c r="D7" s="192">
        <v>0.47916666666666669</v>
      </c>
      <c r="E7" s="141">
        <f t="shared" ref="E7" si="0">D7-C7</f>
        <v>6.25E-2</v>
      </c>
      <c r="F7" s="142">
        <v>1.5</v>
      </c>
      <c r="G7" s="193">
        <v>1</v>
      </c>
      <c r="H7" s="199">
        <f t="shared" ref="H7" si="1">(G7*F7)</f>
        <v>1.5</v>
      </c>
    </row>
    <row r="8" spans="1:18" s="15" customFormat="1" x14ac:dyDescent="0.25">
      <c r="A8" s="9" t="s">
        <v>13</v>
      </c>
      <c r="B8" s="294" t="s">
        <v>14</v>
      </c>
      <c r="C8" s="141">
        <v>0.41666666666666669</v>
      </c>
      <c r="D8" s="192">
        <v>0.5</v>
      </c>
      <c r="E8" s="141">
        <f t="shared" ref="E8:E9" si="2">D8-C8</f>
        <v>8.3333333333333315E-2</v>
      </c>
      <c r="F8" s="142">
        <v>2</v>
      </c>
      <c r="G8" s="193">
        <v>9</v>
      </c>
      <c r="H8" s="199">
        <f t="shared" ref="H8:H36" si="3">(G8*F8)</f>
        <v>18</v>
      </c>
    </row>
    <row r="9" spans="1:18" s="15" customFormat="1" hidden="1" x14ac:dyDescent="0.25">
      <c r="A9" s="9" t="s">
        <v>13</v>
      </c>
      <c r="B9" s="294" t="s">
        <v>14</v>
      </c>
      <c r="C9" s="141">
        <v>0.41666666666666669</v>
      </c>
      <c r="D9" s="192">
        <v>0.52083333333333337</v>
      </c>
      <c r="E9" s="141">
        <f t="shared" si="2"/>
        <v>0.10416666666666669</v>
      </c>
      <c r="F9" s="142">
        <v>2.5</v>
      </c>
      <c r="G9" s="193"/>
      <c r="H9" s="199">
        <f t="shared" si="3"/>
        <v>0</v>
      </c>
    </row>
    <row r="10" spans="1:18" s="15" customFormat="1" x14ac:dyDescent="0.25">
      <c r="A10" s="9" t="s">
        <v>13</v>
      </c>
      <c r="B10" s="294" t="s">
        <v>14</v>
      </c>
      <c r="C10" s="141">
        <v>0.41666666666666669</v>
      </c>
      <c r="D10" s="192">
        <v>0.54166666666666663</v>
      </c>
      <c r="E10" s="141">
        <f t="shared" ref="E10:E12" si="4">D10-C10</f>
        <v>0.12499999999999994</v>
      </c>
      <c r="F10" s="142">
        <v>3</v>
      </c>
      <c r="G10" s="193">
        <v>3</v>
      </c>
      <c r="H10" s="199">
        <f t="shared" si="3"/>
        <v>9</v>
      </c>
    </row>
    <row r="11" spans="1:18" s="15" customFormat="1" x14ac:dyDescent="0.25">
      <c r="A11" s="9" t="s">
        <v>13</v>
      </c>
      <c r="B11" s="294" t="s">
        <v>14</v>
      </c>
      <c r="C11" s="141">
        <v>0.41666666666666669</v>
      </c>
      <c r="D11" s="192">
        <v>0.58333333333333337</v>
      </c>
      <c r="E11" s="141">
        <f t="shared" si="4"/>
        <v>0.16666666666666669</v>
      </c>
      <c r="F11" s="142">
        <v>4</v>
      </c>
      <c r="G11" s="193">
        <v>1</v>
      </c>
      <c r="H11" s="199">
        <f t="shared" si="3"/>
        <v>4</v>
      </c>
    </row>
    <row r="12" spans="1:18" s="15" customFormat="1" hidden="1" x14ac:dyDescent="0.25">
      <c r="A12" s="9" t="s">
        <v>13</v>
      </c>
      <c r="B12" s="294" t="s">
        <v>14</v>
      </c>
      <c r="C12" s="141">
        <v>0.4375</v>
      </c>
      <c r="D12" s="192">
        <v>0.5</v>
      </c>
      <c r="E12" s="141">
        <f t="shared" si="4"/>
        <v>6.25E-2</v>
      </c>
      <c r="F12" s="142">
        <v>1.5</v>
      </c>
      <c r="G12" s="193"/>
      <c r="H12" s="199">
        <f t="shared" si="3"/>
        <v>0</v>
      </c>
    </row>
    <row r="13" spans="1:18" s="15" customFormat="1" hidden="1" x14ac:dyDescent="0.25">
      <c r="A13" s="9" t="s">
        <v>13</v>
      </c>
      <c r="B13" s="294" t="s">
        <v>14</v>
      </c>
      <c r="C13" s="141">
        <v>0.45833333333333331</v>
      </c>
      <c r="D13" s="192">
        <v>0.5</v>
      </c>
      <c r="E13" s="141">
        <f t="shared" ref="E13:E50" si="5">D13-C13</f>
        <v>4.1666666666666685E-2</v>
      </c>
      <c r="F13" s="142">
        <v>1</v>
      </c>
      <c r="G13" s="193"/>
      <c r="H13" s="199">
        <f t="shared" ref="H13:H16" si="6">(G13*F13)</f>
        <v>0</v>
      </c>
    </row>
    <row r="14" spans="1:18" s="15" customFormat="1" x14ac:dyDescent="0.25">
      <c r="A14" s="9" t="s">
        <v>13</v>
      </c>
      <c r="B14" s="294" t="s">
        <v>14</v>
      </c>
      <c r="C14" s="141">
        <v>0.45833333333333331</v>
      </c>
      <c r="D14" s="192">
        <v>0.52083333333333337</v>
      </c>
      <c r="E14" s="141">
        <f t="shared" si="5"/>
        <v>6.2500000000000056E-2</v>
      </c>
      <c r="F14" s="142">
        <v>1.5</v>
      </c>
      <c r="G14" s="193">
        <v>1</v>
      </c>
      <c r="H14" s="199">
        <f t="shared" si="6"/>
        <v>1.5</v>
      </c>
    </row>
    <row r="15" spans="1:18" s="15" customFormat="1" x14ac:dyDescent="0.25">
      <c r="A15" s="9" t="s">
        <v>13</v>
      </c>
      <c r="B15" s="294" t="s">
        <v>14</v>
      </c>
      <c r="C15" s="141">
        <v>0.45833333333333331</v>
      </c>
      <c r="D15" s="192">
        <v>0.54166666666666663</v>
      </c>
      <c r="E15" s="141">
        <f t="shared" si="5"/>
        <v>8.3333333333333315E-2</v>
      </c>
      <c r="F15" s="142">
        <v>2</v>
      </c>
      <c r="G15" s="193">
        <v>2</v>
      </c>
      <c r="H15" s="199">
        <f t="shared" si="6"/>
        <v>4</v>
      </c>
    </row>
    <row r="16" spans="1:18" s="15" customFormat="1" hidden="1" x14ac:dyDescent="0.25">
      <c r="A16" s="9" t="s">
        <v>13</v>
      </c>
      <c r="B16" s="294" t="s">
        <v>14</v>
      </c>
      <c r="C16" s="141">
        <v>0.45833333333333331</v>
      </c>
      <c r="D16" s="192">
        <v>0.625</v>
      </c>
      <c r="E16" s="141">
        <f t="shared" si="5"/>
        <v>0.16666666666666669</v>
      </c>
      <c r="F16" s="142">
        <v>4</v>
      </c>
      <c r="G16" s="193"/>
      <c r="H16" s="199">
        <f t="shared" si="6"/>
        <v>0</v>
      </c>
    </row>
    <row r="17" spans="1:8" s="15" customFormat="1" hidden="1" x14ac:dyDescent="0.25">
      <c r="A17" s="9" t="s">
        <v>13</v>
      </c>
      <c r="B17" s="294" t="s">
        <v>14</v>
      </c>
      <c r="C17" s="141">
        <v>0.47916666666666669</v>
      </c>
      <c r="D17" s="192">
        <v>0.5</v>
      </c>
      <c r="E17" s="141">
        <f t="shared" si="5"/>
        <v>2.0833333333333315E-2</v>
      </c>
      <c r="F17" s="142">
        <v>0.5</v>
      </c>
      <c r="G17" s="193"/>
      <c r="H17" s="199">
        <f t="shared" si="3"/>
        <v>0</v>
      </c>
    </row>
    <row r="18" spans="1:8" s="15" customFormat="1" x14ac:dyDescent="0.25">
      <c r="A18" s="9" t="s">
        <v>13</v>
      </c>
      <c r="B18" s="294" t="s">
        <v>14</v>
      </c>
      <c r="C18" s="141">
        <v>0.5</v>
      </c>
      <c r="D18" s="192">
        <v>0.625</v>
      </c>
      <c r="E18" s="141">
        <f t="shared" si="5"/>
        <v>0.125</v>
      </c>
      <c r="F18" s="142">
        <v>3</v>
      </c>
      <c r="G18" s="193">
        <v>1</v>
      </c>
      <c r="H18" s="199">
        <f t="shared" si="3"/>
        <v>3</v>
      </c>
    </row>
    <row r="19" spans="1:8" s="15" customFormat="1" hidden="1" x14ac:dyDescent="0.25">
      <c r="A19" s="9" t="s">
        <v>13</v>
      </c>
      <c r="B19" s="294" t="s">
        <v>14</v>
      </c>
      <c r="C19" s="141">
        <v>0.52083333333333337</v>
      </c>
      <c r="D19" s="192">
        <v>0.66666666666666663</v>
      </c>
      <c r="E19" s="141">
        <f t="shared" si="5"/>
        <v>0.14583333333333326</v>
      </c>
      <c r="F19" s="142">
        <v>3.5</v>
      </c>
      <c r="G19" s="193"/>
      <c r="H19" s="199">
        <f t="shared" si="3"/>
        <v>0</v>
      </c>
    </row>
    <row r="20" spans="1:8" s="15" customFormat="1" x14ac:dyDescent="0.25">
      <c r="A20" s="9" t="s">
        <v>13</v>
      </c>
      <c r="B20" s="294" t="s">
        <v>14</v>
      </c>
      <c r="C20" s="141">
        <v>0.54166666666666663</v>
      </c>
      <c r="D20" s="192">
        <v>0.625</v>
      </c>
      <c r="E20" s="141">
        <f t="shared" si="5"/>
        <v>8.333333333333337E-2</v>
      </c>
      <c r="F20" s="142">
        <v>2</v>
      </c>
      <c r="G20" s="193">
        <v>2</v>
      </c>
      <c r="H20" s="199">
        <f t="shared" si="3"/>
        <v>4</v>
      </c>
    </row>
    <row r="21" spans="1:8" s="15" customFormat="1" hidden="1" x14ac:dyDescent="0.25">
      <c r="A21" s="9" t="s">
        <v>13</v>
      </c>
      <c r="B21" s="294" t="s">
        <v>14</v>
      </c>
      <c r="C21" s="141">
        <v>0.54166666666666663</v>
      </c>
      <c r="D21" s="192">
        <v>0.64583333333333337</v>
      </c>
      <c r="E21" s="141">
        <f t="shared" si="5"/>
        <v>0.10416666666666674</v>
      </c>
      <c r="F21" s="142">
        <v>2.5</v>
      </c>
      <c r="G21" s="193"/>
      <c r="H21" s="199">
        <f t="shared" ref="H21:H30" si="7">(G21*F21)</f>
        <v>0</v>
      </c>
    </row>
    <row r="22" spans="1:8" s="15" customFormat="1" x14ac:dyDescent="0.25">
      <c r="A22" s="9" t="s">
        <v>13</v>
      </c>
      <c r="B22" s="294" t="s">
        <v>86</v>
      </c>
      <c r="C22" s="141">
        <v>0.54166666666666663</v>
      </c>
      <c r="D22" s="192">
        <v>0.66666666666666663</v>
      </c>
      <c r="E22" s="141">
        <f t="shared" si="5"/>
        <v>0.125</v>
      </c>
      <c r="F22" s="142">
        <v>3</v>
      </c>
      <c r="G22" s="193">
        <v>5</v>
      </c>
      <c r="H22" s="199">
        <f t="shared" si="7"/>
        <v>15</v>
      </c>
    </row>
    <row r="23" spans="1:8" s="15" customFormat="1" x14ac:dyDescent="0.25">
      <c r="A23" s="9" t="s">
        <v>13</v>
      </c>
      <c r="B23" s="294" t="s">
        <v>86</v>
      </c>
      <c r="C23" s="141">
        <v>0.5625</v>
      </c>
      <c r="D23" s="192">
        <v>0.625</v>
      </c>
      <c r="E23" s="141">
        <f t="shared" si="5"/>
        <v>6.25E-2</v>
      </c>
      <c r="F23" s="142">
        <v>1.5</v>
      </c>
      <c r="G23" s="193">
        <v>1</v>
      </c>
      <c r="H23" s="199">
        <f t="shared" si="7"/>
        <v>1.5</v>
      </c>
    </row>
    <row r="24" spans="1:8" s="15" customFormat="1" x14ac:dyDescent="0.25">
      <c r="A24" s="9" t="s">
        <v>13</v>
      </c>
      <c r="B24" s="294" t="s">
        <v>86</v>
      </c>
      <c r="C24" s="141">
        <v>0.5625</v>
      </c>
      <c r="D24" s="192">
        <v>0.64583333333333337</v>
      </c>
      <c r="E24" s="141">
        <f t="shared" si="5"/>
        <v>8.333333333333337E-2</v>
      </c>
      <c r="F24" s="142">
        <v>2</v>
      </c>
      <c r="G24" s="193">
        <v>1</v>
      </c>
      <c r="H24" s="199">
        <f t="shared" si="7"/>
        <v>2</v>
      </c>
    </row>
    <row r="25" spans="1:8" s="15" customFormat="1" x14ac:dyDescent="0.25">
      <c r="A25" s="9" t="s">
        <v>13</v>
      </c>
      <c r="B25" s="294" t="s">
        <v>14</v>
      </c>
      <c r="C25" s="141">
        <v>0.5625</v>
      </c>
      <c r="D25" s="192">
        <v>0.66666666666666663</v>
      </c>
      <c r="E25" s="141">
        <f t="shared" si="5"/>
        <v>0.10416666666666663</v>
      </c>
      <c r="F25" s="142">
        <v>2.5</v>
      </c>
      <c r="G25" s="193">
        <v>6</v>
      </c>
      <c r="H25" s="199">
        <f t="shared" si="7"/>
        <v>15</v>
      </c>
    </row>
    <row r="26" spans="1:8" s="15" customFormat="1" x14ac:dyDescent="0.25">
      <c r="A26" s="9" t="s">
        <v>13</v>
      </c>
      <c r="B26" s="294" t="s">
        <v>14</v>
      </c>
      <c r="C26" s="141">
        <v>0.5625</v>
      </c>
      <c r="D26" s="192">
        <v>0.6875</v>
      </c>
      <c r="E26" s="141">
        <f t="shared" si="5"/>
        <v>0.125</v>
      </c>
      <c r="F26" s="142">
        <v>3</v>
      </c>
      <c r="G26" s="193">
        <v>1</v>
      </c>
      <c r="H26" s="199">
        <f t="shared" si="7"/>
        <v>3</v>
      </c>
    </row>
    <row r="27" spans="1:8" s="15" customFormat="1" x14ac:dyDescent="0.25">
      <c r="A27" s="9" t="s">
        <v>13</v>
      </c>
      <c r="B27" s="294" t="s">
        <v>14</v>
      </c>
      <c r="C27" s="141">
        <v>0.58333333333333337</v>
      </c>
      <c r="D27" s="192">
        <v>0.625</v>
      </c>
      <c r="E27" s="141">
        <f t="shared" si="5"/>
        <v>4.166666666666663E-2</v>
      </c>
      <c r="F27" s="142">
        <v>1</v>
      </c>
      <c r="G27" s="193">
        <v>2</v>
      </c>
      <c r="H27" s="199">
        <f t="shared" si="7"/>
        <v>2</v>
      </c>
    </row>
    <row r="28" spans="1:8" s="15" customFormat="1" x14ac:dyDescent="0.25">
      <c r="A28" s="9" t="s">
        <v>13</v>
      </c>
      <c r="B28" s="294" t="s">
        <v>14</v>
      </c>
      <c r="C28" s="141">
        <v>0.58333333333333337</v>
      </c>
      <c r="D28" s="192">
        <v>0.64583333333333337</v>
      </c>
      <c r="E28" s="141">
        <f t="shared" si="5"/>
        <v>6.25E-2</v>
      </c>
      <c r="F28" s="142">
        <v>1.5</v>
      </c>
      <c r="G28" s="193">
        <v>1</v>
      </c>
      <c r="H28" s="199">
        <f t="shared" si="7"/>
        <v>1.5</v>
      </c>
    </row>
    <row r="29" spans="1:8" s="15" customFormat="1" x14ac:dyDescent="0.25">
      <c r="A29" s="9" t="s">
        <v>13</v>
      </c>
      <c r="B29" s="294" t="s">
        <v>14</v>
      </c>
      <c r="C29" s="141">
        <v>0.58333333333333337</v>
      </c>
      <c r="D29" s="192">
        <v>0.70833333333333337</v>
      </c>
      <c r="E29" s="141">
        <f t="shared" si="5"/>
        <v>0.125</v>
      </c>
      <c r="F29" s="142">
        <v>3</v>
      </c>
      <c r="G29" s="193">
        <v>2</v>
      </c>
      <c r="H29" s="199">
        <f t="shared" si="7"/>
        <v>6</v>
      </c>
    </row>
    <row r="30" spans="1:8" s="15" customFormat="1" x14ac:dyDescent="0.25">
      <c r="A30" s="9" t="s">
        <v>13</v>
      </c>
      <c r="B30" s="294" t="s">
        <v>14</v>
      </c>
      <c r="C30" s="141">
        <v>0.58333333333333337</v>
      </c>
      <c r="D30" s="192">
        <v>0.75</v>
      </c>
      <c r="E30" s="141">
        <f t="shared" si="5"/>
        <v>0.16666666666666663</v>
      </c>
      <c r="F30" s="142">
        <v>4</v>
      </c>
      <c r="G30" s="193">
        <v>1</v>
      </c>
      <c r="H30" s="199">
        <f t="shared" si="7"/>
        <v>4</v>
      </c>
    </row>
    <row r="31" spans="1:8" s="15" customFormat="1" hidden="1" x14ac:dyDescent="0.25">
      <c r="A31" s="9" t="s">
        <v>13</v>
      </c>
      <c r="B31" s="294" t="s">
        <v>14</v>
      </c>
      <c r="C31" s="141">
        <v>0.625</v>
      </c>
      <c r="D31" s="192">
        <v>0.75</v>
      </c>
      <c r="E31" s="141">
        <f t="shared" si="5"/>
        <v>0.125</v>
      </c>
      <c r="F31" s="142">
        <v>3</v>
      </c>
      <c r="G31" s="193"/>
      <c r="H31" s="199">
        <f>G31*F31</f>
        <v>0</v>
      </c>
    </row>
    <row r="32" spans="1:8" s="15" customFormat="1" x14ac:dyDescent="0.25">
      <c r="A32" s="9" t="s">
        <v>13</v>
      </c>
      <c r="B32" s="294" t="s">
        <v>14</v>
      </c>
      <c r="C32" s="141">
        <v>0.64583333333333337</v>
      </c>
      <c r="D32" s="192">
        <v>0.70833333333333337</v>
      </c>
      <c r="E32" s="141">
        <f t="shared" si="5"/>
        <v>6.25E-2</v>
      </c>
      <c r="F32" s="142">
        <v>1.5</v>
      </c>
      <c r="G32" s="193">
        <v>1</v>
      </c>
      <c r="H32" s="199">
        <f>G32*F32</f>
        <v>1.5</v>
      </c>
    </row>
    <row r="33" spans="1:8" s="15" customFormat="1" x14ac:dyDescent="0.25">
      <c r="A33" s="9" t="s">
        <v>13</v>
      </c>
      <c r="B33" s="294" t="s">
        <v>14</v>
      </c>
      <c r="C33" s="141">
        <v>0.66666666666666663</v>
      </c>
      <c r="D33" s="192">
        <v>0.72916666666666663</v>
      </c>
      <c r="E33" s="141">
        <f t="shared" si="5"/>
        <v>6.25E-2</v>
      </c>
      <c r="F33" s="142">
        <v>1.5</v>
      </c>
      <c r="G33" s="193">
        <v>1</v>
      </c>
      <c r="H33" s="199">
        <f>G33*F33</f>
        <v>1.5</v>
      </c>
    </row>
    <row r="34" spans="1:8" s="15" customFormat="1" x14ac:dyDescent="0.25">
      <c r="A34" s="9" t="s">
        <v>13</v>
      </c>
      <c r="B34" s="294" t="s">
        <v>14</v>
      </c>
      <c r="C34" s="141">
        <v>0.66666666666666663</v>
      </c>
      <c r="D34" s="192">
        <v>0.75</v>
      </c>
      <c r="E34" s="141">
        <f t="shared" si="5"/>
        <v>8.333333333333337E-2</v>
      </c>
      <c r="F34" s="142">
        <v>2</v>
      </c>
      <c r="G34" s="193">
        <v>1</v>
      </c>
      <c r="H34" s="199">
        <f>G34*F34</f>
        <v>2</v>
      </c>
    </row>
    <row r="35" spans="1:8" s="15" customFormat="1" x14ac:dyDescent="0.25">
      <c r="A35" s="9" t="s">
        <v>13</v>
      </c>
      <c r="B35" s="294" t="s">
        <v>14</v>
      </c>
      <c r="C35" s="141">
        <v>0.6875</v>
      </c>
      <c r="D35" s="192">
        <v>0.75</v>
      </c>
      <c r="E35" s="141">
        <f t="shared" si="5"/>
        <v>6.25E-2</v>
      </c>
      <c r="F35" s="142">
        <v>1.5</v>
      </c>
      <c r="G35" s="193">
        <v>1</v>
      </c>
      <c r="H35" s="199">
        <f t="shared" si="3"/>
        <v>1.5</v>
      </c>
    </row>
    <row r="36" spans="1:8" s="15" customFormat="1" x14ac:dyDescent="0.25">
      <c r="A36" s="9" t="s">
        <v>13</v>
      </c>
      <c r="B36" s="294" t="s">
        <v>14</v>
      </c>
      <c r="C36" s="141">
        <v>0.6875</v>
      </c>
      <c r="D36" s="181">
        <v>0.79166666666666663</v>
      </c>
      <c r="E36" s="141">
        <f t="shared" si="5"/>
        <v>0.10416666666666663</v>
      </c>
      <c r="F36" s="142">
        <v>2.5</v>
      </c>
      <c r="G36" s="280">
        <v>1</v>
      </c>
      <c r="H36" s="291">
        <f t="shared" si="3"/>
        <v>2.5</v>
      </c>
    </row>
    <row r="37" spans="1:8" s="15" customFormat="1" hidden="1" x14ac:dyDescent="0.25">
      <c r="A37" s="9" t="s">
        <v>13</v>
      </c>
      <c r="B37" s="294" t="s">
        <v>14</v>
      </c>
      <c r="C37" s="141">
        <v>0.70833333333333337</v>
      </c>
      <c r="D37" s="181">
        <v>0.75</v>
      </c>
      <c r="E37" s="141">
        <f t="shared" si="5"/>
        <v>4.166666666666663E-2</v>
      </c>
      <c r="F37" s="142">
        <v>1</v>
      </c>
      <c r="G37" s="280"/>
      <c r="H37" s="291">
        <f t="shared" ref="H37:H50" si="8">(G37*F37)</f>
        <v>0</v>
      </c>
    </row>
    <row r="38" spans="1:8" s="15" customFormat="1" x14ac:dyDescent="0.25">
      <c r="A38" s="9" t="s">
        <v>13</v>
      </c>
      <c r="B38" s="294" t="s">
        <v>14</v>
      </c>
      <c r="C38" s="141">
        <v>0.70833333333333337</v>
      </c>
      <c r="D38" s="181">
        <v>0.79166666666666663</v>
      </c>
      <c r="E38" s="141">
        <f t="shared" si="5"/>
        <v>8.3333333333333259E-2</v>
      </c>
      <c r="F38" s="142">
        <v>2</v>
      </c>
      <c r="G38" s="280">
        <v>3</v>
      </c>
      <c r="H38" s="291">
        <f t="shared" si="8"/>
        <v>6</v>
      </c>
    </row>
    <row r="39" spans="1:8" s="15" customFormat="1" x14ac:dyDescent="0.25">
      <c r="A39" s="9" t="s">
        <v>13</v>
      </c>
      <c r="B39" s="294" t="s">
        <v>14</v>
      </c>
      <c r="C39" s="141">
        <v>0.70833333333333337</v>
      </c>
      <c r="D39" s="181">
        <v>0.83333333333333337</v>
      </c>
      <c r="E39" s="141">
        <f t="shared" si="5"/>
        <v>0.125</v>
      </c>
      <c r="F39" s="142">
        <v>3</v>
      </c>
      <c r="G39" s="280">
        <v>1</v>
      </c>
      <c r="H39" s="291">
        <f t="shared" si="8"/>
        <v>3</v>
      </c>
    </row>
    <row r="40" spans="1:8" s="15" customFormat="1" hidden="1" x14ac:dyDescent="0.25">
      <c r="A40" s="9" t="s">
        <v>13</v>
      </c>
      <c r="B40" s="294" t="s">
        <v>14</v>
      </c>
      <c r="C40" s="141">
        <v>0.70833333333333337</v>
      </c>
      <c r="D40" s="201">
        <v>0.875</v>
      </c>
      <c r="E40" s="141">
        <f t="shared" si="5"/>
        <v>0.16666666666666663</v>
      </c>
      <c r="F40" s="142">
        <v>4</v>
      </c>
      <c r="G40" s="289"/>
      <c r="H40" s="291">
        <f t="shared" si="8"/>
        <v>0</v>
      </c>
    </row>
    <row r="41" spans="1:8" s="15" customFormat="1" x14ac:dyDescent="0.25">
      <c r="A41" s="9" t="s">
        <v>13</v>
      </c>
      <c r="B41" s="294" t="s">
        <v>14</v>
      </c>
      <c r="C41" s="141">
        <v>0.75</v>
      </c>
      <c r="D41" s="181">
        <v>0.83333333333333337</v>
      </c>
      <c r="E41" s="141">
        <f t="shared" si="5"/>
        <v>8.333333333333337E-2</v>
      </c>
      <c r="F41" s="142">
        <v>2</v>
      </c>
      <c r="G41" s="280">
        <v>3</v>
      </c>
      <c r="H41" s="291">
        <f t="shared" si="8"/>
        <v>6</v>
      </c>
    </row>
    <row r="42" spans="1:8" s="15" customFormat="1" x14ac:dyDescent="0.25">
      <c r="A42" s="9" t="s">
        <v>13</v>
      </c>
      <c r="B42" s="294" t="s">
        <v>14</v>
      </c>
      <c r="C42" s="141">
        <v>0.75</v>
      </c>
      <c r="D42" s="181">
        <v>0.875</v>
      </c>
      <c r="E42" s="141">
        <f t="shared" si="5"/>
        <v>0.125</v>
      </c>
      <c r="F42" s="142">
        <v>3</v>
      </c>
      <c r="G42" s="280">
        <v>2</v>
      </c>
      <c r="H42" s="291">
        <f t="shared" si="8"/>
        <v>6</v>
      </c>
    </row>
    <row r="43" spans="1:8" s="15" customFormat="1" x14ac:dyDescent="0.25">
      <c r="A43" s="9" t="s">
        <v>13</v>
      </c>
      <c r="B43" s="294" t="s">
        <v>14</v>
      </c>
      <c r="C43" s="141">
        <v>0.75</v>
      </c>
      <c r="D43" s="181">
        <v>0.89583333333333337</v>
      </c>
      <c r="E43" s="141">
        <f t="shared" si="5"/>
        <v>0.14583333333333337</v>
      </c>
      <c r="F43" s="142">
        <v>3.5</v>
      </c>
      <c r="G43" s="280">
        <v>1</v>
      </c>
      <c r="H43" s="291">
        <f t="shared" si="8"/>
        <v>3.5</v>
      </c>
    </row>
    <row r="44" spans="1:8" s="15" customFormat="1" x14ac:dyDescent="0.25">
      <c r="A44" s="9" t="s">
        <v>13</v>
      </c>
      <c r="B44" s="294" t="s">
        <v>14</v>
      </c>
      <c r="C44" s="141">
        <v>0.75</v>
      </c>
      <c r="D44" s="181">
        <v>0.91666666666666663</v>
      </c>
      <c r="E44" s="141">
        <f t="shared" si="5"/>
        <v>0.16666666666666663</v>
      </c>
      <c r="F44" s="142">
        <v>4</v>
      </c>
      <c r="G44" s="280">
        <v>1</v>
      </c>
      <c r="H44" s="291">
        <f t="shared" si="8"/>
        <v>4</v>
      </c>
    </row>
    <row r="45" spans="1:8" s="15" customFormat="1" x14ac:dyDescent="0.25">
      <c r="A45" s="9" t="s">
        <v>13</v>
      </c>
      <c r="B45" s="294" t="s">
        <v>14</v>
      </c>
      <c r="C45" s="141">
        <v>0.77083333333333337</v>
      </c>
      <c r="D45" s="181">
        <v>0.875</v>
      </c>
      <c r="E45" s="141">
        <f t="shared" si="5"/>
        <v>0.10416666666666663</v>
      </c>
      <c r="F45" s="142">
        <v>2.5</v>
      </c>
      <c r="G45" s="280">
        <v>1</v>
      </c>
      <c r="H45" s="291">
        <f t="shared" si="8"/>
        <v>2.5</v>
      </c>
    </row>
    <row r="46" spans="1:8" s="15" customFormat="1" x14ac:dyDescent="0.25">
      <c r="A46" s="9" t="s">
        <v>13</v>
      </c>
      <c r="B46" s="294" t="s">
        <v>14</v>
      </c>
      <c r="C46" s="141">
        <v>0.79166666666666663</v>
      </c>
      <c r="D46" s="181">
        <v>0.875</v>
      </c>
      <c r="E46" s="141">
        <f t="shared" si="5"/>
        <v>8.333333333333337E-2</v>
      </c>
      <c r="F46" s="142">
        <v>2</v>
      </c>
      <c r="G46" s="280">
        <v>1</v>
      </c>
      <c r="H46" s="291">
        <f t="shared" si="8"/>
        <v>2</v>
      </c>
    </row>
    <row r="47" spans="1:8" s="15" customFormat="1" x14ac:dyDescent="0.25">
      <c r="A47" s="9" t="s">
        <v>13</v>
      </c>
      <c r="B47" s="294" t="s">
        <v>14</v>
      </c>
      <c r="C47" s="141">
        <v>0.79166666666666663</v>
      </c>
      <c r="D47" s="181">
        <v>0.91666666666666663</v>
      </c>
      <c r="E47" s="141">
        <f t="shared" si="5"/>
        <v>0.125</v>
      </c>
      <c r="F47" s="142">
        <v>3</v>
      </c>
      <c r="G47" s="280">
        <v>1</v>
      </c>
      <c r="H47" s="291">
        <f t="shared" si="8"/>
        <v>3</v>
      </c>
    </row>
    <row r="48" spans="1:8" s="15" customFormat="1" x14ac:dyDescent="0.25">
      <c r="A48" s="9" t="s">
        <v>13</v>
      </c>
      <c r="B48" s="294" t="s">
        <v>14</v>
      </c>
      <c r="C48" s="141">
        <v>0.8125</v>
      </c>
      <c r="D48" s="181">
        <v>0.91666666666666663</v>
      </c>
      <c r="E48" s="141">
        <f t="shared" si="5"/>
        <v>0.10416666666666663</v>
      </c>
      <c r="F48" s="142">
        <v>2.5</v>
      </c>
      <c r="G48" s="280">
        <v>1</v>
      </c>
      <c r="H48" s="291">
        <f t="shared" si="8"/>
        <v>2.5</v>
      </c>
    </row>
    <row r="49" spans="1:18" s="15" customFormat="1" x14ac:dyDescent="0.25">
      <c r="A49" s="9" t="s">
        <v>13</v>
      </c>
      <c r="B49" s="294" t="s">
        <v>14</v>
      </c>
      <c r="C49" s="141">
        <v>0.83333333333333337</v>
      </c>
      <c r="D49" s="181">
        <v>0.91666666666666696</v>
      </c>
      <c r="E49" s="141">
        <f t="shared" si="5"/>
        <v>8.3333333333333592E-2</v>
      </c>
      <c r="F49" s="142">
        <v>2</v>
      </c>
      <c r="G49" s="280">
        <v>2</v>
      </c>
      <c r="H49" s="291">
        <f t="shared" si="8"/>
        <v>4</v>
      </c>
    </row>
    <row r="50" spans="1:18" s="15" customFormat="1" ht="15.75" thickBot="1" x14ac:dyDescent="0.3">
      <c r="A50" s="9" t="s">
        <v>13</v>
      </c>
      <c r="B50" s="295" t="s">
        <v>14</v>
      </c>
      <c r="C50" s="141">
        <v>0.83333333333333337</v>
      </c>
      <c r="D50" s="181">
        <v>0.95833333333333337</v>
      </c>
      <c r="E50" s="141">
        <f t="shared" si="5"/>
        <v>0.125</v>
      </c>
      <c r="F50" s="142">
        <v>3</v>
      </c>
      <c r="G50" s="280">
        <v>1</v>
      </c>
      <c r="H50" s="292">
        <f t="shared" si="8"/>
        <v>3</v>
      </c>
    </row>
    <row r="51" spans="1:18" s="15" customFormat="1" ht="15.75" thickBot="1" x14ac:dyDescent="0.3">
      <c r="A51" s="9"/>
      <c r="B51" s="296"/>
      <c r="C51" s="169"/>
      <c r="D51" s="172"/>
      <c r="E51" s="169"/>
      <c r="F51" s="262"/>
      <c r="G51" s="290"/>
      <c r="H51" s="288">
        <f>SUM(H3:H50)</f>
        <v>251.5</v>
      </c>
    </row>
    <row r="52" spans="1:18" s="15" customFormat="1" ht="15.75" thickBot="1" x14ac:dyDescent="0.3">
      <c r="A52" s="9"/>
      <c r="B52" s="168"/>
      <c r="C52" s="3"/>
      <c r="D52" s="3"/>
      <c r="E52" s="3"/>
      <c r="F52" s="21"/>
      <c r="G52" s="171"/>
      <c r="H52" s="200" t="s">
        <v>20</v>
      </c>
    </row>
    <row r="53" spans="1:18" s="15" customFormat="1" x14ac:dyDescent="0.25">
      <c r="A53" s="9"/>
      <c r="B53" s="3"/>
      <c r="C53" s="3"/>
      <c r="D53" s="3"/>
      <c r="E53" s="3"/>
      <c r="F53" s="21"/>
      <c r="G53" s="5"/>
      <c r="H53" s="3"/>
      <c r="I53" s="3"/>
      <c r="J53" s="3"/>
      <c r="K53" s="3"/>
      <c r="L53" s="5"/>
      <c r="M53" s="3"/>
      <c r="N53" s="3"/>
      <c r="O53" s="3"/>
      <c r="P53" s="3"/>
      <c r="Q53" s="3"/>
      <c r="R53" s="3"/>
    </row>
    <row r="54" spans="1:18" s="15" customFormat="1" x14ac:dyDescent="0.25">
      <c r="A54" s="9"/>
      <c r="B54" s="3"/>
      <c r="C54" s="3"/>
      <c r="D54" s="3"/>
      <c r="E54" s="3"/>
      <c r="F54" s="21"/>
      <c r="G54" s="5"/>
      <c r="H54" s="3"/>
      <c r="I54" s="3"/>
      <c r="J54" s="3"/>
      <c r="K54" s="3"/>
      <c r="L54" s="5"/>
      <c r="M54" s="3"/>
      <c r="N54" s="3"/>
      <c r="O54" s="3"/>
      <c r="P54" s="3"/>
      <c r="Q54" s="3"/>
      <c r="R54" s="3"/>
    </row>
    <row r="55" spans="1:18" s="15" customFormat="1" x14ac:dyDescent="0.25">
      <c r="A55" s="9"/>
      <c r="B55" s="3"/>
      <c r="C55" s="3"/>
      <c r="D55" s="3"/>
      <c r="E55" s="3"/>
      <c r="F55" s="21"/>
      <c r="G55" s="5"/>
      <c r="H55" s="3"/>
      <c r="I55" s="3"/>
      <c r="J55" s="3"/>
      <c r="K55" s="3"/>
      <c r="L55" s="5"/>
      <c r="M55" s="3"/>
      <c r="N55" s="3"/>
      <c r="O55" s="3"/>
      <c r="P55" s="3"/>
      <c r="Q55" s="3"/>
      <c r="R55" s="3"/>
    </row>
    <row r="56" spans="1:18" s="15" customFormat="1" x14ac:dyDescent="0.25">
      <c r="A56" s="9"/>
      <c r="B56" s="3"/>
      <c r="C56" s="3"/>
      <c r="D56" s="3"/>
      <c r="E56" s="3"/>
      <c r="F56" s="21"/>
      <c r="G56" s="5"/>
      <c r="H56" s="3"/>
      <c r="I56" s="3"/>
      <c r="J56" s="3"/>
      <c r="K56" s="3"/>
      <c r="L56" s="5"/>
      <c r="M56" s="3"/>
      <c r="N56" s="3"/>
      <c r="O56" s="3"/>
      <c r="P56" s="3"/>
      <c r="Q56" s="3"/>
      <c r="R56" s="3"/>
    </row>
    <row r="57" spans="1:18" s="15" customFormat="1" x14ac:dyDescent="0.25">
      <c r="A57" s="9"/>
      <c r="B57" s="3"/>
      <c r="C57" s="3"/>
      <c r="D57" s="3"/>
      <c r="E57" s="3"/>
      <c r="F57" s="21"/>
      <c r="G57" s="5"/>
      <c r="H57" s="3"/>
      <c r="I57" s="3"/>
      <c r="J57" s="3"/>
      <c r="K57" s="3"/>
      <c r="L57" s="5"/>
      <c r="M57" s="3"/>
      <c r="N57" s="3"/>
      <c r="O57" s="3"/>
      <c r="P57" s="3"/>
      <c r="Q57" s="3"/>
      <c r="R57" s="3"/>
    </row>
    <row r="58" spans="1:18" s="15" customFormat="1" x14ac:dyDescent="0.25">
      <c r="A58" s="9"/>
      <c r="B58" s="3"/>
      <c r="C58" s="3"/>
      <c r="D58" s="3"/>
      <c r="E58" s="3"/>
      <c r="F58" s="21"/>
      <c r="G58" s="5"/>
      <c r="H58" s="3"/>
      <c r="I58" s="3"/>
      <c r="J58" s="3"/>
      <c r="K58" s="3"/>
      <c r="L58" s="5"/>
      <c r="M58" s="3"/>
      <c r="N58" s="3"/>
      <c r="O58" s="3"/>
      <c r="P58" s="3"/>
      <c r="Q58" s="3"/>
      <c r="R58" s="3"/>
    </row>
    <row r="59" spans="1:18" s="15" customFormat="1" ht="15" customHeight="1" x14ac:dyDescent="0.25">
      <c r="A59" s="9"/>
      <c r="B59" s="3"/>
      <c r="C59" s="3"/>
      <c r="D59" s="3"/>
      <c r="E59" s="3"/>
      <c r="F59" s="21"/>
      <c r="G59" s="5"/>
      <c r="H59" s="3"/>
      <c r="I59" s="3"/>
      <c r="J59" s="3"/>
      <c r="K59" s="3"/>
      <c r="L59" s="5"/>
      <c r="M59" s="3"/>
      <c r="N59" s="3"/>
      <c r="O59" s="3"/>
      <c r="P59" s="3"/>
      <c r="Q59" s="3"/>
      <c r="R59" s="3"/>
    </row>
    <row r="60" spans="1:18" s="15" customFormat="1" x14ac:dyDescent="0.25">
      <c r="A60" s="9"/>
      <c r="B60" s="3"/>
      <c r="C60" s="3"/>
      <c r="D60" s="3"/>
      <c r="E60" s="3"/>
      <c r="F60" s="21"/>
      <c r="G60" s="5"/>
      <c r="H60" s="3"/>
      <c r="I60" s="3"/>
      <c r="J60" s="3"/>
      <c r="K60" s="3"/>
      <c r="L60" s="5"/>
      <c r="M60" s="3"/>
      <c r="N60" s="3"/>
      <c r="O60" s="3"/>
      <c r="P60" s="3"/>
      <c r="Q60" s="3"/>
      <c r="R60" s="3"/>
    </row>
    <row r="61" spans="1:18" s="15" customFormat="1" x14ac:dyDescent="0.25">
      <c r="A61" s="9"/>
      <c r="B61" s="3"/>
      <c r="C61" s="3"/>
      <c r="D61" s="3"/>
      <c r="E61" s="3"/>
      <c r="F61" s="21"/>
      <c r="G61" s="5"/>
      <c r="H61" s="3"/>
      <c r="I61" s="3"/>
      <c r="J61" s="3"/>
      <c r="K61" s="3"/>
      <c r="L61" s="5"/>
      <c r="M61" s="3"/>
      <c r="N61" s="3"/>
      <c r="O61" s="3"/>
      <c r="P61" s="3"/>
      <c r="Q61" s="3"/>
      <c r="R61" s="3"/>
    </row>
    <row r="62" spans="1:18" s="15" customFormat="1" x14ac:dyDescent="0.25">
      <c r="A62" s="9"/>
      <c r="B62" s="3"/>
      <c r="C62" s="3"/>
      <c r="D62" s="3"/>
      <c r="E62" s="3"/>
      <c r="F62" s="21"/>
      <c r="G62" s="5"/>
      <c r="H62" s="3"/>
      <c r="I62" s="3"/>
      <c r="J62" s="3"/>
      <c r="K62" s="3"/>
      <c r="L62" s="5"/>
      <c r="M62" s="3"/>
      <c r="N62" s="3"/>
      <c r="O62" s="3"/>
      <c r="P62" s="3"/>
      <c r="Q62" s="3"/>
      <c r="R62" s="3"/>
    </row>
    <row r="63" spans="1:18" s="15" customFormat="1" x14ac:dyDescent="0.25">
      <c r="A63" s="9"/>
      <c r="B63" s="3"/>
      <c r="C63" s="3"/>
      <c r="D63" s="3"/>
      <c r="E63" s="3"/>
      <c r="F63" s="21"/>
      <c r="G63" s="5"/>
      <c r="H63" s="3"/>
      <c r="I63" s="3"/>
      <c r="J63" s="3"/>
      <c r="K63" s="3"/>
      <c r="L63" s="5"/>
      <c r="M63" s="3"/>
      <c r="N63" s="3"/>
      <c r="O63" s="3"/>
      <c r="P63" s="3"/>
      <c r="Q63" s="3"/>
      <c r="R63" s="3"/>
    </row>
    <row r="64" spans="1:18" s="15" customFormat="1" x14ac:dyDescent="0.25">
      <c r="A64" s="9"/>
      <c r="B64" s="3"/>
      <c r="C64" s="3"/>
      <c r="D64" s="3"/>
      <c r="E64" s="3"/>
      <c r="F64" s="21"/>
      <c r="G64" s="5"/>
      <c r="H64" s="3"/>
      <c r="I64" s="3"/>
      <c r="J64" s="3"/>
      <c r="K64" s="3"/>
      <c r="L64" s="5"/>
      <c r="M64" s="3"/>
      <c r="N64" s="3"/>
      <c r="O64" s="3"/>
      <c r="P64" s="3"/>
      <c r="Q64" s="3"/>
      <c r="R64" s="3"/>
    </row>
    <row r="65" spans="1:18" s="15" customFormat="1" x14ac:dyDescent="0.25">
      <c r="A65" s="9"/>
      <c r="B65" s="3"/>
      <c r="C65" s="3"/>
      <c r="D65" s="3"/>
      <c r="E65" s="3"/>
      <c r="F65" s="21"/>
      <c r="G65" s="5"/>
      <c r="H65" s="3"/>
      <c r="I65" s="3"/>
      <c r="J65" s="3"/>
      <c r="K65" s="3"/>
      <c r="L65" s="5"/>
      <c r="M65" s="3"/>
      <c r="N65" s="3"/>
      <c r="O65" s="3"/>
      <c r="P65" s="3"/>
      <c r="Q65" s="3"/>
      <c r="R65" s="3"/>
    </row>
    <row r="66" spans="1:18" s="15" customFormat="1" x14ac:dyDescent="0.25">
      <c r="A66" s="9"/>
      <c r="B66" s="3"/>
      <c r="C66" s="3"/>
      <c r="D66" s="3"/>
      <c r="E66" s="3"/>
      <c r="F66" s="21"/>
      <c r="G66" s="5"/>
      <c r="H66" s="3"/>
      <c r="I66" s="3"/>
      <c r="J66" s="3"/>
      <c r="K66" s="3"/>
      <c r="L66" s="5"/>
      <c r="M66" s="3"/>
      <c r="N66" s="3"/>
      <c r="O66" s="3"/>
      <c r="P66" s="3"/>
      <c r="Q66" s="3"/>
      <c r="R66" s="3"/>
    </row>
    <row r="67" spans="1:18" s="15" customFormat="1" x14ac:dyDescent="0.25">
      <c r="A67" s="9"/>
      <c r="B67" s="3"/>
      <c r="C67" s="3"/>
      <c r="D67" s="3"/>
      <c r="E67" s="3"/>
      <c r="F67" s="21"/>
      <c r="G67" s="5"/>
      <c r="H67" s="3"/>
      <c r="I67" s="3"/>
      <c r="J67" s="3"/>
      <c r="K67" s="3"/>
      <c r="L67" s="5"/>
      <c r="M67" s="3"/>
      <c r="N67" s="3"/>
      <c r="O67" s="3"/>
      <c r="P67" s="3"/>
      <c r="Q67" s="3"/>
      <c r="R67" s="3"/>
    </row>
    <row r="68" spans="1:18" s="15" customFormat="1" x14ac:dyDescent="0.25">
      <c r="A68" s="9"/>
      <c r="B68" s="3"/>
      <c r="C68" s="3"/>
      <c r="D68" s="3"/>
      <c r="E68" s="3"/>
      <c r="F68" s="21"/>
      <c r="G68" s="5"/>
      <c r="H68" s="3"/>
      <c r="I68" s="3"/>
      <c r="J68" s="3"/>
      <c r="K68" s="3"/>
      <c r="L68" s="5"/>
      <c r="M68" s="3"/>
      <c r="N68" s="3"/>
      <c r="O68" s="3"/>
      <c r="P68" s="3"/>
      <c r="Q68" s="3"/>
      <c r="R68" s="3"/>
    </row>
    <row r="69" spans="1:18" s="11" customFormat="1" x14ac:dyDescent="0.25">
      <c r="A69" s="10"/>
      <c r="B69" s="3"/>
      <c r="C69" s="3"/>
      <c r="D69" s="3"/>
      <c r="E69" s="3"/>
      <c r="F69" s="21"/>
      <c r="G69" s="5"/>
      <c r="H69" s="3"/>
      <c r="I69" s="3"/>
      <c r="J69" s="3"/>
      <c r="K69" s="3"/>
      <c r="L69" s="5"/>
      <c r="M69" s="3"/>
      <c r="N69" s="3"/>
      <c r="O69" s="3"/>
      <c r="P69" s="3"/>
      <c r="Q69" s="3"/>
      <c r="R69" s="3"/>
    </row>
    <row r="70" spans="1:18" s="11" customFormat="1" ht="15.75" thickBot="1" x14ac:dyDescent="0.3">
      <c r="A70" s="10"/>
      <c r="B70" s="3"/>
      <c r="C70" s="3"/>
      <c r="D70" s="3"/>
      <c r="E70" s="3"/>
      <c r="F70" s="21"/>
      <c r="G70" s="5"/>
      <c r="H70" s="3"/>
      <c r="I70" s="3"/>
      <c r="J70" s="3"/>
      <c r="K70" s="3"/>
      <c r="L70" s="5"/>
      <c r="M70" s="3"/>
      <c r="N70" s="3"/>
      <c r="O70" s="3"/>
      <c r="P70" s="3"/>
      <c r="Q70" s="3"/>
      <c r="R70" s="3"/>
    </row>
    <row r="71" spans="1:18" s="15" customFormat="1" ht="15.75" thickBot="1" x14ac:dyDescent="0.3">
      <c r="A71" s="17"/>
      <c r="B71" s="3"/>
      <c r="C71" s="3"/>
      <c r="D71" s="3"/>
      <c r="E71" s="3"/>
      <c r="F71" s="21"/>
      <c r="G71" s="5"/>
      <c r="H71" s="3"/>
      <c r="I71" s="3"/>
      <c r="J71" s="3"/>
      <c r="K71" s="3"/>
      <c r="L71" s="5"/>
      <c r="M71" s="3"/>
      <c r="N71" s="3"/>
      <c r="O71" s="3"/>
      <c r="P71" s="3"/>
      <c r="Q71" s="3"/>
      <c r="R71" s="3"/>
    </row>
  </sheetData>
  <pageMargins left="0.7" right="0.7" top="0.78740157499999996" bottom="0.78740157499999996" header="0.3" footer="0.3"/>
  <pageSetup paperSize="9" orientation="portrait" r:id="rId1"/>
  <ignoredErrors>
    <ignoredError sqref="H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8"/>
  <sheetViews>
    <sheetView topLeftCell="D1" workbookViewId="0">
      <pane xSplit="5" ySplit="29" topLeftCell="I30" activePane="bottomRight" state="frozen"/>
      <selection activeCell="D1" sqref="D1"/>
      <selection pane="topRight" activeCell="I1" sqref="I1"/>
      <selection pane="bottomLeft" activeCell="D16" sqref="D16"/>
      <selection pane="bottomRight" activeCell="D26" sqref="A26:XFD26"/>
    </sheetView>
  </sheetViews>
  <sheetFormatPr baseColWidth="10" defaultRowHeight="15" x14ac:dyDescent="0.25"/>
  <cols>
    <col min="1" max="1" width="15.85546875" style="3" customWidth="1"/>
    <col min="2" max="3" width="15.28515625" style="3" customWidth="1"/>
    <col min="4" max="6" width="11.5703125" style="3" customWidth="1"/>
    <col min="7" max="7" width="11.5703125" style="5" customWidth="1"/>
    <col min="8" max="8" width="14" style="5" customWidth="1"/>
    <col min="9" max="9" width="18.5703125" style="3" customWidth="1"/>
    <col min="10" max="13" width="11.85546875" style="3" customWidth="1"/>
    <col min="14" max="14" width="13.140625" style="5" customWidth="1"/>
    <col min="15" max="20" width="11.85546875" style="3" customWidth="1"/>
  </cols>
  <sheetData>
    <row r="1" spans="1:20" ht="15.75" thickBot="1" x14ac:dyDescent="0.3">
      <c r="A1" s="6"/>
      <c r="B1" s="7"/>
      <c r="C1" s="7"/>
      <c r="D1" s="7"/>
      <c r="E1" s="7"/>
      <c r="F1" s="7"/>
      <c r="G1" s="8"/>
      <c r="H1" s="155"/>
      <c r="I1" s="332" t="s">
        <v>20</v>
      </c>
      <c r="J1"/>
      <c r="K1"/>
      <c r="L1"/>
      <c r="M1"/>
      <c r="N1"/>
      <c r="O1"/>
      <c r="P1"/>
      <c r="Q1"/>
      <c r="R1"/>
      <c r="S1"/>
      <c r="T1"/>
    </row>
    <row r="2" spans="1:20" ht="39" customHeight="1" thickBot="1" x14ac:dyDescent="0.35">
      <c r="A2" s="4" t="s">
        <v>2</v>
      </c>
      <c r="B2" s="1" t="s">
        <v>3</v>
      </c>
      <c r="C2" s="1" t="s">
        <v>4</v>
      </c>
      <c r="D2" s="333" t="s">
        <v>5</v>
      </c>
      <c r="E2" s="334" t="s">
        <v>6</v>
      </c>
      <c r="F2" s="333" t="s">
        <v>8</v>
      </c>
      <c r="G2" s="337" t="s">
        <v>203</v>
      </c>
      <c r="H2" s="335" t="s">
        <v>12</v>
      </c>
      <c r="I2" s="336" t="s">
        <v>1</v>
      </c>
      <c r="J2"/>
      <c r="K2"/>
      <c r="L2"/>
      <c r="M2"/>
      <c r="N2"/>
      <c r="O2"/>
      <c r="P2"/>
      <c r="Q2"/>
      <c r="R2"/>
      <c r="S2"/>
      <c r="T2"/>
    </row>
    <row r="3" spans="1:20" s="15" customFormat="1" ht="15.75" thickTop="1" x14ac:dyDescent="0.25">
      <c r="A3" s="9" t="s">
        <v>0</v>
      </c>
      <c r="B3" s="12" t="s">
        <v>11</v>
      </c>
      <c r="C3" s="12" t="s">
        <v>11</v>
      </c>
      <c r="D3" s="13">
        <v>0.5</v>
      </c>
      <c r="E3" s="158">
        <v>0.54166666666666663</v>
      </c>
      <c r="F3" s="13">
        <f t="shared" ref="F3" si="0">E3-D3</f>
        <v>4.166666666666663E-2</v>
      </c>
      <c r="G3" s="14">
        <v>1</v>
      </c>
      <c r="H3" s="286">
        <v>29</v>
      </c>
      <c r="I3" s="154">
        <f>(H3*G3)</f>
        <v>29</v>
      </c>
    </row>
    <row r="4" spans="1:20" s="15" customFormat="1" x14ac:dyDescent="0.25">
      <c r="A4" s="9"/>
      <c r="B4" s="12"/>
      <c r="C4" s="12"/>
      <c r="D4" s="13">
        <v>0.5</v>
      </c>
      <c r="E4" s="158">
        <v>0.58333333333333337</v>
      </c>
      <c r="F4" s="13">
        <v>8.3333333333333329E-2</v>
      </c>
      <c r="G4" s="14">
        <v>2</v>
      </c>
      <c r="H4" s="286">
        <v>1</v>
      </c>
      <c r="I4" s="154">
        <f>(H4*G4)</f>
        <v>2</v>
      </c>
    </row>
    <row r="5" spans="1:20" s="15" customFormat="1" x14ac:dyDescent="0.25">
      <c r="A5" s="9" t="s">
        <v>0</v>
      </c>
      <c r="B5" s="12" t="s">
        <v>11</v>
      </c>
      <c r="C5" s="12" t="s">
        <v>11</v>
      </c>
      <c r="D5" s="13">
        <v>0.5</v>
      </c>
      <c r="E5" s="158">
        <v>0.60416666666666663</v>
      </c>
      <c r="F5" s="13">
        <f t="shared" ref="F5" si="1">E5-D5</f>
        <v>0.10416666666666663</v>
      </c>
      <c r="G5" s="14">
        <v>2.5</v>
      </c>
      <c r="H5" s="286">
        <v>6</v>
      </c>
      <c r="I5" s="154">
        <f>(H5*G5)</f>
        <v>15</v>
      </c>
    </row>
    <row r="6" spans="1:20" s="15" customFormat="1" x14ac:dyDescent="0.25">
      <c r="A6" s="9"/>
      <c r="B6" s="12"/>
      <c r="C6" s="12"/>
      <c r="D6" s="13">
        <v>0.5</v>
      </c>
      <c r="E6" s="158">
        <v>0.625</v>
      </c>
      <c r="F6" s="13">
        <v>0.125</v>
      </c>
      <c r="G6" s="14">
        <v>3</v>
      </c>
      <c r="H6" s="286">
        <v>3</v>
      </c>
      <c r="I6" s="154">
        <f>G6*H6</f>
        <v>9</v>
      </c>
    </row>
    <row r="7" spans="1:20" s="15" customFormat="1" hidden="1" x14ac:dyDescent="0.25">
      <c r="A7" s="9"/>
      <c r="B7" s="12"/>
      <c r="C7" s="12"/>
      <c r="D7" s="13">
        <v>0.5</v>
      </c>
      <c r="E7" s="158">
        <v>0.64583333333333337</v>
      </c>
      <c r="F7" s="13">
        <v>0.14583333333333334</v>
      </c>
      <c r="G7" s="14">
        <v>3.5</v>
      </c>
      <c r="H7" s="286"/>
      <c r="I7" s="154">
        <f>G7*H7</f>
        <v>0</v>
      </c>
    </row>
    <row r="8" spans="1:20" s="15" customFormat="1" hidden="1" x14ac:dyDescent="0.25">
      <c r="A8" s="9"/>
      <c r="B8" s="12"/>
      <c r="C8" s="12"/>
      <c r="D8" s="13">
        <v>0.5</v>
      </c>
      <c r="E8" s="158">
        <v>0.65625</v>
      </c>
      <c r="F8" s="13">
        <v>0.15625</v>
      </c>
      <c r="G8" s="14">
        <v>3.75</v>
      </c>
      <c r="H8" s="286"/>
      <c r="I8" s="154">
        <f>G8*H8</f>
        <v>0</v>
      </c>
    </row>
    <row r="9" spans="1:20" s="15" customFormat="1" hidden="1" x14ac:dyDescent="0.25">
      <c r="A9" s="9"/>
      <c r="B9" s="12"/>
      <c r="C9" s="12"/>
      <c r="D9" s="13">
        <v>0.5</v>
      </c>
      <c r="E9" s="158">
        <v>0.66666666666666663</v>
      </c>
      <c r="F9" s="13">
        <v>0.16666666666666666</v>
      </c>
      <c r="G9" s="14">
        <v>4</v>
      </c>
      <c r="H9" s="286"/>
      <c r="I9" s="154">
        <f>G9*H9</f>
        <v>0</v>
      </c>
    </row>
    <row r="10" spans="1:20" s="15" customFormat="1" hidden="1" x14ac:dyDescent="0.25">
      <c r="A10" s="9"/>
      <c r="B10" s="12"/>
      <c r="C10" s="12"/>
      <c r="D10" s="13">
        <v>0.5</v>
      </c>
      <c r="E10" s="158">
        <v>0.6875</v>
      </c>
      <c r="F10" s="13">
        <v>0.1875</v>
      </c>
      <c r="G10" s="14">
        <v>4.5</v>
      </c>
      <c r="H10" s="286"/>
      <c r="I10" s="154">
        <f>G10*H10</f>
        <v>0</v>
      </c>
    </row>
    <row r="11" spans="1:20" s="11" customFormat="1" x14ac:dyDescent="0.25">
      <c r="A11" s="9" t="s">
        <v>0</v>
      </c>
      <c r="B11" s="12" t="s">
        <v>11</v>
      </c>
      <c r="C11" s="12" t="s">
        <v>11</v>
      </c>
      <c r="D11" s="13">
        <v>0.5</v>
      </c>
      <c r="E11" s="158">
        <v>0.70833333333333337</v>
      </c>
      <c r="F11" s="13">
        <f>E11-D11</f>
        <v>0.20833333333333337</v>
      </c>
      <c r="G11" s="14">
        <v>5</v>
      </c>
      <c r="H11" s="286">
        <v>4</v>
      </c>
      <c r="I11" s="154">
        <f>(H11*G11)</f>
        <v>20</v>
      </c>
    </row>
    <row r="12" spans="1:20" s="11" customFormat="1" hidden="1" x14ac:dyDescent="0.25">
      <c r="A12" s="9"/>
      <c r="B12" s="12"/>
      <c r="C12" s="12"/>
      <c r="D12" s="13">
        <v>0.5</v>
      </c>
      <c r="E12" s="158">
        <v>0.75</v>
      </c>
      <c r="F12" s="13">
        <f>E12-D12</f>
        <v>0.25</v>
      </c>
      <c r="G12" s="14">
        <v>6</v>
      </c>
      <c r="H12" s="286"/>
      <c r="I12" s="154">
        <f>(H12*G12)</f>
        <v>0</v>
      </c>
    </row>
    <row r="13" spans="1:20" s="11" customFormat="1" hidden="1" x14ac:dyDescent="0.25">
      <c r="A13" s="9"/>
      <c r="B13" s="12"/>
      <c r="C13" s="12"/>
      <c r="D13" s="13">
        <v>0.54166666666666663</v>
      </c>
      <c r="E13" s="158">
        <v>0.58333333333333337</v>
      </c>
      <c r="F13" s="13">
        <f>E13-D13</f>
        <v>4.1666666666666741E-2</v>
      </c>
      <c r="G13" s="14">
        <v>1</v>
      </c>
      <c r="H13" s="286"/>
      <c r="I13" s="154">
        <f>H13*G13</f>
        <v>0</v>
      </c>
    </row>
    <row r="14" spans="1:20" s="11" customFormat="1" hidden="1" x14ac:dyDescent="0.25">
      <c r="A14" s="9"/>
      <c r="B14" s="12"/>
      <c r="C14" s="12"/>
      <c r="D14" s="13">
        <v>0.54166666666666663</v>
      </c>
      <c r="E14" s="158">
        <v>0.60416666666666663</v>
      </c>
      <c r="F14" s="13">
        <v>6.25E-2</v>
      </c>
      <c r="G14" s="14">
        <v>1.5</v>
      </c>
      <c r="H14" s="286"/>
      <c r="I14" s="154">
        <f>H14*G14</f>
        <v>0</v>
      </c>
    </row>
    <row r="15" spans="1:20" s="11" customFormat="1" hidden="1" x14ac:dyDescent="0.25">
      <c r="A15" s="9"/>
      <c r="B15" s="12"/>
      <c r="C15" s="12"/>
      <c r="D15" s="13">
        <v>0.54166666666666663</v>
      </c>
      <c r="E15" s="158">
        <v>0.625</v>
      </c>
      <c r="F15" s="13">
        <v>8.3333333333333329E-2</v>
      </c>
      <c r="G15" s="14">
        <v>2</v>
      </c>
      <c r="H15" s="286"/>
      <c r="I15" s="154">
        <f>H15*G15</f>
        <v>0</v>
      </c>
    </row>
    <row r="16" spans="1:20" s="11" customFormat="1" hidden="1" x14ac:dyDescent="0.25">
      <c r="A16" s="9"/>
      <c r="B16" s="12"/>
      <c r="C16" s="12"/>
      <c r="D16" s="13">
        <v>0.54166666666666663</v>
      </c>
      <c r="E16" s="158">
        <v>0.64583333333333337</v>
      </c>
      <c r="F16" s="13">
        <v>0.10416666666666667</v>
      </c>
      <c r="G16" s="14">
        <v>2.5</v>
      </c>
      <c r="H16" s="286"/>
      <c r="I16" s="154">
        <f>G16*H16</f>
        <v>0</v>
      </c>
    </row>
    <row r="17" spans="1:20" s="11" customFormat="1" hidden="1" x14ac:dyDescent="0.25">
      <c r="A17" s="9"/>
      <c r="B17" s="12"/>
      <c r="C17" s="12"/>
      <c r="D17" s="13">
        <v>0.54166666666666663</v>
      </c>
      <c r="E17" s="158">
        <v>0.66666666666666663</v>
      </c>
      <c r="F17" s="13">
        <v>0.125</v>
      </c>
      <c r="G17" s="14">
        <v>3</v>
      </c>
      <c r="H17" s="286"/>
      <c r="I17" s="154">
        <f>H17*G17</f>
        <v>0</v>
      </c>
    </row>
    <row r="18" spans="1:20" s="11" customFormat="1" hidden="1" x14ac:dyDescent="0.25">
      <c r="A18" s="9" t="s">
        <v>0</v>
      </c>
      <c r="B18" s="12" t="s">
        <v>11</v>
      </c>
      <c r="C18" s="12" t="s">
        <v>11</v>
      </c>
      <c r="D18" s="13">
        <v>0.54166666666666663</v>
      </c>
      <c r="E18" s="158">
        <v>0.70833333333333337</v>
      </c>
      <c r="F18" s="13">
        <f t="shared" ref="F18:F19" si="2">E18-D18</f>
        <v>0.16666666666666674</v>
      </c>
      <c r="G18" s="14">
        <v>4</v>
      </c>
      <c r="H18" s="286"/>
      <c r="I18" s="154">
        <f>(H18*G18)</f>
        <v>0</v>
      </c>
      <c r="J18" s="15"/>
    </row>
    <row r="19" spans="1:20" s="11" customFormat="1" hidden="1" x14ac:dyDescent="0.25">
      <c r="A19" s="9" t="s">
        <v>0</v>
      </c>
      <c r="B19" s="12" t="s">
        <v>11</v>
      </c>
      <c r="C19" s="12" t="s">
        <v>11</v>
      </c>
      <c r="D19" s="13">
        <v>0.58333333333333337</v>
      </c>
      <c r="E19" s="158">
        <v>0.70833333333333337</v>
      </c>
      <c r="F19" s="13">
        <f t="shared" si="2"/>
        <v>0.125</v>
      </c>
      <c r="G19" s="14">
        <v>3</v>
      </c>
      <c r="H19" s="286"/>
      <c r="I19" s="154">
        <f>(H19*G19)</f>
        <v>0</v>
      </c>
      <c r="J19" s="15"/>
      <c r="K19" s="15"/>
    </row>
    <row r="20" spans="1:20" s="11" customFormat="1" x14ac:dyDescent="0.25">
      <c r="A20" s="9"/>
      <c r="B20" s="12"/>
      <c r="C20" s="12"/>
      <c r="D20" s="13">
        <v>0.60416666666666663</v>
      </c>
      <c r="E20" s="158">
        <v>0.70833333333333337</v>
      </c>
      <c r="F20" s="13">
        <f t="shared" ref="F20:F23" si="3">E20-D20</f>
        <v>0.10416666666666674</v>
      </c>
      <c r="G20" s="14">
        <v>2.5</v>
      </c>
      <c r="H20" s="286">
        <v>3</v>
      </c>
      <c r="I20" s="154">
        <f>(H20*G20)</f>
        <v>7.5</v>
      </c>
      <c r="J20" s="15"/>
      <c r="K20" s="15"/>
    </row>
    <row r="21" spans="1:20" s="11" customFormat="1" hidden="1" x14ac:dyDescent="0.25">
      <c r="A21" s="9"/>
      <c r="B21" s="12"/>
      <c r="C21" s="12"/>
      <c r="D21" s="13">
        <v>0.625</v>
      </c>
      <c r="E21" s="158">
        <v>0.64583333333333337</v>
      </c>
      <c r="F21" s="13">
        <f t="shared" si="3"/>
        <v>2.083333333333337E-2</v>
      </c>
      <c r="G21" s="14">
        <v>0.5</v>
      </c>
      <c r="H21" s="286"/>
      <c r="I21" s="154">
        <f>H21*G21</f>
        <v>0</v>
      </c>
      <c r="J21" s="15"/>
      <c r="K21" s="15"/>
    </row>
    <row r="22" spans="1:20" s="11" customFormat="1" ht="15.75" thickBot="1" x14ac:dyDescent="0.3">
      <c r="A22" s="9" t="s">
        <v>0</v>
      </c>
      <c r="B22" s="12" t="s">
        <v>11</v>
      </c>
      <c r="C22" s="12" t="s">
        <v>11</v>
      </c>
      <c r="D22" s="13">
        <v>0.625</v>
      </c>
      <c r="E22" s="158">
        <v>0.70833333333333337</v>
      </c>
      <c r="F22" s="13">
        <f t="shared" si="3"/>
        <v>8.333333333333337E-2</v>
      </c>
      <c r="G22" s="14">
        <v>2</v>
      </c>
      <c r="H22" s="286">
        <v>3</v>
      </c>
      <c r="I22" s="154">
        <f>(H22*G22)</f>
        <v>6</v>
      </c>
      <c r="J22" s="15"/>
      <c r="K22" s="15"/>
    </row>
    <row r="23" spans="1:20" s="15" customFormat="1" ht="15.75" hidden="1" thickBot="1" x14ac:dyDescent="0.3">
      <c r="A23" s="9" t="s">
        <v>0</v>
      </c>
      <c r="B23" s="12" t="s">
        <v>11</v>
      </c>
      <c r="C23" s="12" t="s">
        <v>11</v>
      </c>
      <c r="D23" s="13">
        <v>0.625</v>
      </c>
      <c r="E23" s="158">
        <v>0.75</v>
      </c>
      <c r="F23" s="13">
        <f t="shared" si="3"/>
        <v>0.125</v>
      </c>
      <c r="G23" s="14">
        <v>3</v>
      </c>
      <c r="H23" s="286"/>
      <c r="I23" s="317">
        <f>(H23*G23)</f>
        <v>0</v>
      </c>
    </row>
    <row r="24" spans="1:20" s="15" customFormat="1" ht="15.75" thickBot="1" x14ac:dyDescent="0.3">
      <c r="A24" s="9" t="s">
        <v>0</v>
      </c>
      <c r="B24" s="12" t="s">
        <v>11</v>
      </c>
      <c r="C24" s="12" t="s">
        <v>11</v>
      </c>
      <c r="D24" s="156"/>
      <c r="E24" s="159"/>
      <c r="F24" s="157"/>
      <c r="G24" s="160">
        <f>SUM(G3:G23)</f>
        <v>60.25</v>
      </c>
      <c r="H24" s="287">
        <f>SUM(H3:H23)</f>
        <v>49</v>
      </c>
      <c r="I24" s="318">
        <f>SUM(I3:I23)</f>
        <v>88.5</v>
      </c>
    </row>
    <row r="25" spans="1:20" s="15" customFormat="1" ht="15.75" thickBot="1" x14ac:dyDescent="0.3">
      <c r="A25" s="9"/>
      <c r="B25" s="12"/>
      <c r="C25" s="12"/>
      <c r="D25" s="3"/>
      <c r="E25" s="3"/>
      <c r="F25" s="3"/>
      <c r="G25" s="5"/>
      <c r="H25" s="5"/>
      <c r="I25" s="3"/>
      <c r="J25" s="3"/>
      <c r="K25" s="3"/>
    </row>
    <row r="26" spans="1:20" s="15" customFormat="1" ht="15.75" thickBot="1" x14ac:dyDescent="0.3">
      <c r="A26" s="17" t="s">
        <v>24</v>
      </c>
      <c r="B26" s="18"/>
      <c r="C26" s="18"/>
      <c r="D26" s="3"/>
      <c r="E26" s="3"/>
      <c r="F26" s="3"/>
      <c r="G26" s="5"/>
      <c r="H26" s="5"/>
      <c r="I26" s="3"/>
      <c r="J26" s="3"/>
      <c r="K26" s="3"/>
    </row>
    <row r="27" spans="1:20" s="15" customFormat="1" ht="15.75" thickBot="1" x14ac:dyDescent="0.3">
      <c r="A27" s="17" t="s">
        <v>24</v>
      </c>
      <c r="B27" s="18"/>
      <c r="C27" s="18"/>
      <c r="D27" s="3"/>
      <c r="E27" s="3"/>
      <c r="F27" s="3"/>
      <c r="G27" s="5"/>
      <c r="H27" s="5"/>
      <c r="I27" s="3"/>
      <c r="J27" s="3"/>
      <c r="K27" s="3"/>
    </row>
    <row r="28" spans="1:20" x14ac:dyDescent="0.25">
      <c r="R28"/>
      <c r="S28"/>
      <c r="T28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SO999929 xmlns="http://www.datev.de/BSOffice/999929">db2e1bfd-d50a-4920-84e0-01796ace6b40</BSO999929>
</file>

<file path=customXml/itemProps1.xml><?xml version="1.0" encoding="utf-8"?>
<ds:datastoreItem xmlns:ds="http://schemas.openxmlformats.org/officeDocument/2006/customXml" ds:itemID="{1CD2B4A5-412C-4F19-9089-3DA77B5ADE52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GESAMT</vt:lpstr>
      <vt:lpstr>Besondere Orte</vt:lpstr>
      <vt:lpstr>EAzB</vt:lpstr>
      <vt:lpstr>EKD</vt:lpstr>
      <vt:lpstr>Franz. Kirche </vt:lpstr>
      <vt:lpstr>Orgelprobe</vt:lpstr>
      <vt:lpstr>Offene Kirche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Filpe</dc:creator>
  <cp:lastModifiedBy>Anke Stopperich</cp:lastModifiedBy>
  <cp:lastPrinted>2023-01-20T15:34:15Z</cp:lastPrinted>
  <dcterms:created xsi:type="dcterms:W3CDTF">2018-10-23T11:12:49Z</dcterms:created>
  <dcterms:modified xsi:type="dcterms:W3CDTF">2026-02-11T17:16:52Z</dcterms:modified>
</cp:coreProperties>
</file>